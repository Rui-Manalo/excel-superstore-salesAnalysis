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hidePivotFieldList="1"/>
  <mc:AlternateContent xmlns:mc="http://schemas.openxmlformats.org/markup-compatibility/2006">
    <mc:Choice Requires="x15">
      <x15ac:absPath xmlns:x15ac="http://schemas.microsoft.com/office/spreadsheetml/2010/11/ac" url="C:\Users\ruico\Desktop\EXCEL PROJECTS\"/>
    </mc:Choice>
  </mc:AlternateContent>
  <xr:revisionPtr revIDLastSave="0" documentId="13_ncr:1_{67D3D281-1C8F-4971-8CD3-A2E1EFAFBFB9}" xr6:coauthVersionLast="36" xr6:coauthVersionMax="36" xr10:uidLastSave="{00000000-0000-0000-0000-000000000000}"/>
  <bookViews>
    <workbookView xWindow="0" yWindow="0" windowWidth="28800" windowHeight="12105" tabRatio="500" xr2:uid="{00000000-000D-0000-FFFF-FFFF00000000}"/>
  </bookViews>
  <sheets>
    <sheet name="📦 Raw Data" sheetId="1" r:id="rId1"/>
    <sheet name="📋 Tasks &amp; Guide" sheetId="2" r:id="rId2"/>
    <sheet name="DASHBOARD" sheetId="10" r:id="rId3"/>
    <sheet name="Pivot-Region" sheetId="5" r:id="rId4"/>
    <sheet name="Pivot-Monthly" sheetId="6" r:id="rId5"/>
    <sheet name="Work" sheetId="3" r:id="rId6"/>
    <sheet name="📖 Data Dictionary" sheetId="4" r:id="rId7"/>
  </sheets>
  <definedNames>
    <definedName name="Region">'📦 Raw Data'!$E:$E</definedName>
    <definedName name="Revenue">'📦 Raw Data'!$K:$K</definedName>
    <definedName name="SalesData">'📦 Raw Data'!$A$1:$P$301</definedName>
    <definedName name="Slicer_Category">#N/A</definedName>
    <definedName name="Slicer_Region">#N/A</definedName>
  </definedNames>
  <calcPr calcId="179021" calcMode="manual"/>
  <pivotCaches>
    <pivotCache cacheId="5"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loext="http://schemas.libreoffice.org/" uri="{7626C862-2A13-11E5-B345-FEFF819CDC9F}">
      <loext:extCalcPr stringRefSyntax="ExcelA1"/>
    </ext>
  </extLst>
</workbook>
</file>

<file path=xl/calcChain.xml><?xml version="1.0" encoding="utf-8"?>
<calcChain xmlns="http://schemas.openxmlformats.org/spreadsheetml/2006/main">
  <c r="P4" i="10" l="1"/>
  <c r="K4" i="10"/>
  <c r="F4" i="10"/>
  <c r="B22" i="3"/>
  <c r="S16" i="1"/>
  <c r="A4" i="10"/>
  <c r="B28" i="3"/>
  <c r="B25" i="3"/>
  <c r="B5" i="3"/>
  <c r="B19" i="3"/>
  <c r="B14" i="3" l="1"/>
  <c r="B12" i="3"/>
  <c r="B13" i="3"/>
  <c r="B8" i="3"/>
  <c r="B7" i="3"/>
  <c r="B6" i="3"/>
  <c r="B4" i="3"/>
  <c r="P2" i="1"/>
  <c r="P3" i="1"/>
  <c r="P4" i="1"/>
  <c r="P5" i="1"/>
  <c r="P6" i="1"/>
  <c r="P7" i="1"/>
  <c r="P8" i="1"/>
  <c r="P9" i="1"/>
  <c r="P10" i="1"/>
  <c r="P11" i="1"/>
  <c r="P12" i="1"/>
  <c r="P13" i="1"/>
  <c r="P14" i="1"/>
  <c r="P15" i="1"/>
  <c r="P16" i="1"/>
  <c r="P17" i="1"/>
  <c r="K301" i="1"/>
  <c r="M301" i="1" s="1"/>
  <c r="K300" i="1"/>
  <c r="M300" i="1" s="1"/>
  <c r="K299" i="1"/>
  <c r="M299" i="1" s="1"/>
  <c r="K298" i="1"/>
  <c r="M298" i="1" s="1"/>
  <c r="K297" i="1"/>
  <c r="M297" i="1" s="1"/>
  <c r="O296" i="1"/>
  <c r="P296" i="1" s="1"/>
  <c r="M296" i="1"/>
  <c r="K296" i="1"/>
  <c r="K295" i="1"/>
  <c r="M295" i="1" s="1"/>
  <c r="M294" i="1"/>
  <c r="K294" i="1"/>
  <c r="K293" i="1"/>
  <c r="M293" i="1" s="1"/>
  <c r="K292" i="1"/>
  <c r="M292" i="1" s="1"/>
  <c r="K291" i="1"/>
  <c r="M291" i="1" s="1"/>
  <c r="K290" i="1"/>
  <c r="M290" i="1" s="1"/>
  <c r="K289" i="1"/>
  <c r="M289" i="1" s="1"/>
  <c r="K288" i="1"/>
  <c r="M288" i="1" s="1"/>
  <c r="K287" i="1"/>
  <c r="M287" i="1" s="1"/>
  <c r="K286" i="1"/>
  <c r="M286" i="1" s="1"/>
  <c r="M285" i="1"/>
  <c r="K285" i="1"/>
  <c r="K284" i="1"/>
  <c r="M284" i="1" s="1"/>
  <c r="K283" i="1"/>
  <c r="M283" i="1" s="1"/>
  <c r="K282" i="1"/>
  <c r="M282" i="1" s="1"/>
  <c r="M281" i="1"/>
  <c r="K281" i="1"/>
  <c r="K280" i="1"/>
  <c r="M280" i="1" s="1"/>
  <c r="K279" i="1"/>
  <c r="M279" i="1" s="1"/>
  <c r="K278" i="1"/>
  <c r="M278" i="1" s="1"/>
  <c r="K277" i="1"/>
  <c r="M277" i="1" s="1"/>
  <c r="K276" i="1"/>
  <c r="M276" i="1" s="1"/>
  <c r="K275" i="1"/>
  <c r="M275" i="1" s="1"/>
  <c r="K274" i="1"/>
  <c r="M274" i="1" s="1"/>
  <c r="K273" i="1"/>
  <c r="M273" i="1" s="1"/>
  <c r="K272" i="1"/>
  <c r="M272" i="1" s="1"/>
  <c r="K271" i="1"/>
  <c r="M271" i="1" s="1"/>
  <c r="M270" i="1"/>
  <c r="K270" i="1"/>
  <c r="M269" i="1"/>
  <c r="K269" i="1"/>
  <c r="K268" i="1"/>
  <c r="M268" i="1" s="1"/>
  <c r="K267" i="1"/>
  <c r="M267" i="1" s="1"/>
  <c r="M266" i="1"/>
  <c r="K266" i="1"/>
  <c r="K265" i="1"/>
  <c r="M265" i="1" s="1"/>
  <c r="M264" i="1"/>
  <c r="O264" i="1" s="1"/>
  <c r="K264" i="1"/>
  <c r="K263" i="1"/>
  <c r="M263" i="1" s="1"/>
  <c r="K262" i="1"/>
  <c r="M262" i="1" s="1"/>
  <c r="M261" i="1"/>
  <c r="O261" i="1" s="1"/>
  <c r="K261" i="1"/>
  <c r="M260" i="1"/>
  <c r="K260" i="1"/>
  <c r="K259" i="1"/>
  <c r="M259" i="1" s="1"/>
  <c r="K258" i="1"/>
  <c r="M258" i="1" s="1"/>
  <c r="O257" i="1"/>
  <c r="P257" i="1" s="1"/>
  <c r="M257" i="1"/>
  <c r="K257" i="1"/>
  <c r="K256" i="1"/>
  <c r="M256" i="1" s="1"/>
  <c r="K255" i="1"/>
  <c r="M255" i="1" s="1"/>
  <c r="M254" i="1"/>
  <c r="K254" i="1"/>
  <c r="K253" i="1"/>
  <c r="M253" i="1" s="1"/>
  <c r="K252" i="1"/>
  <c r="M252" i="1" s="1"/>
  <c r="K251" i="1"/>
  <c r="M251" i="1" s="1"/>
  <c r="K250" i="1"/>
  <c r="M250" i="1" s="1"/>
  <c r="M249" i="1"/>
  <c r="K249" i="1"/>
  <c r="M248" i="1"/>
  <c r="K248" i="1"/>
  <c r="K247" i="1"/>
  <c r="M247" i="1" s="1"/>
  <c r="K246" i="1"/>
  <c r="M246" i="1" s="1"/>
  <c r="O245" i="1"/>
  <c r="P245" i="1" s="1"/>
  <c r="M245" i="1"/>
  <c r="K245" i="1"/>
  <c r="K244" i="1"/>
  <c r="M244" i="1" s="1"/>
  <c r="K243" i="1"/>
  <c r="M243" i="1" s="1"/>
  <c r="M242" i="1"/>
  <c r="K242" i="1"/>
  <c r="K241" i="1"/>
  <c r="M241" i="1" s="1"/>
  <c r="K240" i="1"/>
  <c r="M240" i="1" s="1"/>
  <c r="K239" i="1"/>
  <c r="M239" i="1" s="1"/>
  <c r="K238" i="1"/>
  <c r="M238" i="1" s="1"/>
  <c r="M237" i="1"/>
  <c r="K237" i="1"/>
  <c r="M236" i="1"/>
  <c r="K236" i="1"/>
  <c r="K235" i="1"/>
  <c r="M235" i="1" s="1"/>
  <c r="K234" i="1"/>
  <c r="M234" i="1" s="1"/>
  <c r="O233" i="1"/>
  <c r="P233" i="1" s="1"/>
  <c r="M233" i="1"/>
  <c r="K233" i="1"/>
  <c r="K232" i="1"/>
  <c r="M232" i="1" s="1"/>
  <c r="K231" i="1"/>
  <c r="M231" i="1" s="1"/>
  <c r="M230" i="1"/>
  <c r="K230" i="1"/>
  <c r="K229" i="1"/>
  <c r="M229" i="1" s="1"/>
  <c r="K228" i="1"/>
  <c r="M228" i="1" s="1"/>
  <c r="K227" i="1"/>
  <c r="M227" i="1" s="1"/>
  <c r="K226" i="1"/>
  <c r="M226" i="1" s="1"/>
  <c r="M225" i="1"/>
  <c r="K225" i="1"/>
  <c r="M224" i="1"/>
  <c r="K224" i="1"/>
  <c r="K223" i="1"/>
  <c r="M223" i="1" s="1"/>
  <c r="K222" i="1"/>
  <c r="M222" i="1" s="1"/>
  <c r="O221" i="1"/>
  <c r="P221" i="1" s="1"/>
  <c r="M221" i="1"/>
  <c r="K221" i="1"/>
  <c r="K220" i="1"/>
  <c r="M220" i="1" s="1"/>
  <c r="K219" i="1"/>
  <c r="M219" i="1" s="1"/>
  <c r="M218" i="1"/>
  <c r="K218" i="1"/>
  <c r="K217" i="1"/>
  <c r="M217" i="1" s="1"/>
  <c r="K216" i="1"/>
  <c r="M216" i="1" s="1"/>
  <c r="K215" i="1"/>
  <c r="M215" i="1" s="1"/>
  <c r="K214" i="1"/>
  <c r="M214" i="1" s="1"/>
  <c r="M213" i="1"/>
  <c r="K213" i="1"/>
  <c r="M212" i="1"/>
  <c r="K212" i="1"/>
  <c r="K211" i="1"/>
  <c r="M211" i="1" s="1"/>
  <c r="K210" i="1"/>
  <c r="M210" i="1" s="1"/>
  <c r="O209" i="1"/>
  <c r="P209" i="1" s="1"/>
  <c r="M209" i="1"/>
  <c r="K209" i="1"/>
  <c r="K208" i="1"/>
  <c r="M208" i="1" s="1"/>
  <c r="M207" i="1"/>
  <c r="O207" i="1" s="1"/>
  <c r="P207" i="1" s="1"/>
  <c r="K207" i="1"/>
  <c r="M206" i="1"/>
  <c r="K206" i="1"/>
  <c r="K205" i="1"/>
  <c r="M205" i="1" s="1"/>
  <c r="K204" i="1"/>
  <c r="M204" i="1" s="1"/>
  <c r="K203" i="1"/>
  <c r="M203" i="1" s="1"/>
  <c r="K202" i="1"/>
  <c r="M202" i="1" s="1"/>
  <c r="M201" i="1"/>
  <c r="K201" i="1"/>
  <c r="M200" i="1"/>
  <c r="K200" i="1"/>
  <c r="K199" i="1"/>
  <c r="M199" i="1" s="1"/>
  <c r="K198" i="1"/>
  <c r="M198" i="1" s="1"/>
  <c r="O197" i="1"/>
  <c r="P197" i="1" s="1"/>
  <c r="M197" i="1"/>
  <c r="K197" i="1"/>
  <c r="K196" i="1"/>
  <c r="M196" i="1" s="1"/>
  <c r="M195" i="1"/>
  <c r="O195" i="1" s="1"/>
  <c r="P195" i="1" s="1"/>
  <c r="K195" i="1"/>
  <c r="M194" i="1"/>
  <c r="K194" i="1"/>
  <c r="K193" i="1"/>
  <c r="M193" i="1" s="1"/>
  <c r="K192" i="1"/>
  <c r="M192" i="1" s="1"/>
  <c r="K191" i="1"/>
  <c r="M191" i="1" s="1"/>
  <c r="K190" i="1"/>
  <c r="M190" i="1" s="1"/>
  <c r="M189" i="1"/>
  <c r="K189" i="1"/>
  <c r="M188" i="1"/>
  <c r="K188" i="1"/>
  <c r="K187" i="1"/>
  <c r="M187" i="1" s="1"/>
  <c r="K186" i="1"/>
  <c r="M186" i="1" s="1"/>
  <c r="O185" i="1"/>
  <c r="P185" i="1" s="1"/>
  <c r="M185" i="1"/>
  <c r="K185" i="1"/>
  <c r="K184" i="1"/>
  <c r="M184" i="1" s="1"/>
  <c r="M183" i="1"/>
  <c r="O183" i="1" s="1"/>
  <c r="P183" i="1" s="1"/>
  <c r="K183" i="1"/>
  <c r="M182" i="1"/>
  <c r="K182" i="1"/>
  <c r="K181" i="1"/>
  <c r="M181" i="1" s="1"/>
  <c r="K180" i="1"/>
  <c r="M180" i="1" s="1"/>
  <c r="K179" i="1"/>
  <c r="M179" i="1" s="1"/>
  <c r="K178" i="1"/>
  <c r="M178" i="1" s="1"/>
  <c r="M177" i="1"/>
  <c r="K177" i="1"/>
  <c r="M176" i="1"/>
  <c r="K176" i="1"/>
  <c r="K175" i="1"/>
  <c r="M175" i="1" s="1"/>
  <c r="K174" i="1"/>
  <c r="M174" i="1" s="1"/>
  <c r="O173" i="1"/>
  <c r="P173" i="1" s="1"/>
  <c r="M173" i="1"/>
  <c r="K173" i="1"/>
  <c r="K172" i="1"/>
  <c r="M172" i="1" s="1"/>
  <c r="M171" i="1"/>
  <c r="O171" i="1" s="1"/>
  <c r="P171" i="1" s="1"/>
  <c r="K171" i="1"/>
  <c r="M170" i="1"/>
  <c r="K170" i="1"/>
  <c r="K169" i="1"/>
  <c r="M169" i="1" s="1"/>
  <c r="K168" i="1"/>
  <c r="M168" i="1" s="1"/>
  <c r="K167" i="1"/>
  <c r="M167" i="1" s="1"/>
  <c r="K166" i="1"/>
  <c r="M166" i="1" s="1"/>
  <c r="M165" i="1"/>
  <c r="K165" i="1"/>
  <c r="M164" i="1"/>
  <c r="K164" i="1"/>
  <c r="K163" i="1"/>
  <c r="M163" i="1" s="1"/>
  <c r="K162" i="1"/>
  <c r="M162" i="1" s="1"/>
  <c r="O161" i="1"/>
  <c r="P161" i="1" s="1"/>
  <c r="M161" i="1"/>
  <c r="K161" i="1"/>
  <c r="K160" i="1"/>
  <c r="M160" i="1" s="1"/>
  <c r="M159" i="1"/>
  <c r="O159" i="1" s="1"/>
  <c r="P159" i="1" s="1"/>
  <c r="K159" i="1"/>
  <c r="M158" i="1"/>
  <c r="K158" i="1"/>
  <c r="K157" i="1"/>
  <c r="M157" i="1" s="1"/>
  <c r="K156" i="1"/>
  <c r="M156" i="1" s="1"/>
  <c r="K155" i="1"/>
  <c r="M155" i="1" s="1"/>
  <c r="K154" i="1"/>
  <c r="M154" i="1" s="1"/>
  <c r="M153" i="1"/>
  <c r="K153" i="1"/>
  <c r="M152" i="1"/>
  <c r="K152" i="1"/>
  <c r="K151" i="1"/>
  <c r="M151" i="1" s="1"/>
  <c r="K150" i="1"/>
  <c r="M150" i="1" s="1"/>
  <c r="O149" i="1"/>
  <c r="P149" i="1" s="1"/>
  <c r="M149" i="1"/>
  <c r="K149" i="1"/>
  <c r="K148" i="1"/>
  <c r="M148" i="1" s="1"/>
  <c r="M147" i="1"/>
  <c r="O147" i="1" s="1"/>
  <c r="P147" i="1" s="1"/>
  <c r="K147" i="1"/>
  <c r="M146" i="1"/>
  <c r="K146" i="1"/>
  <c r="K145" i="1"/>
  <c r="M145" i="1" s="1"/>
  <c r="K144" i="1"/>
  <c r="M144" i="1" s="1"/>
  <c r="K143" i="1"/>
  <c r="M143" i="1" s="1"/>
  <c r="K142" i="1"/>
  <c r="M142" i="1" s="1"/>
  <c r="M141" i="1"/>
  <c r="K141" i="1"/>
  <c r="M140" i="1"/>
  <c r="K140" i="1"/>
  <c r="K139" i="1"/>
  <c r="M139" i="1" s="1"/>
  <c r="K138" i="1"/>
  <c r="M138" i="1" s="1"/>
  <c r="O137" i="1"/>
  <c r="P137" i="1" s="1"/>
  <c r="M137" i="1"/>
  <c r="K137" i="1"/>
  <c r="K136" i="1"/>
  <c r="M136" i="1" s="1"/>
  <c r="M135" i="1"/>
  <c r="O135" i="1" s="1"/>
  <c r="P135" i="1" s="1"/>
  <c r="K135" i="1"/>
  <c r="K134" i="1"/>
  <c r="M134" i="1" s="1"/>
  <c r="K133" i="1"/>
  <c r="M133" i="1" s="1"/>
  <c r="K132" i="1"/>
  <c r="M132" i="1" s="1"/>
  <c r="K131" i="1"/>
  <c r="M131" i="1" s="1"/>
  <c r="K130" i="1"/>
  <c r="M130" i="1" s="1"/>
  <c r="M129" i="1"/>
  <c r="K129" i="1"/>
  <c r="M128" i="1"/>
  <c r="K128" i="1"/>
  <c r="K127" i="1"/>
  <c r="M127" i="1" s="1"/>
  <c r="K126" i="1"/>
  <c r="M126" i="1" s="1"/>
  <c r="O125" i="1"/>
  <c r="P125" i="1" s="1"/>
  <c r="M125" i="1"/>
  <c r="K125" i="1"/>
  <c r="K124" i="1"/>
  <c r="M124" i="1" s="1"/>
  <c r="M123" i="1"/>
  <c r="O123" i="1" s="1"/>
  <c r="P123" i="1" s="1"/>
  <c r="K123" i="1"/>
  <c r="K122" i="1"/>
  <c r="M122" i="1" s="1"/>
  <c r="K121" i="1"/>
  <c r="M121" i="1" s="1"/>
  <c r="K120" i="1"/>
  <c r="M120" i="1" s="1"/>
  <c r="K119" i="1"/>
  <c r="M119" i="1" s="1"/>
  <c r="K118" i="1"/>
  <c r="M118" i="1" s="1"/>
  <c r="M117" i="1"/>
  <c r="K117" i="1"/>
  <c r="M116" i="1"/>
  <c r="K116" i="1"/>
  <c r="K115" i="1"/>
  <c r="M115" i="1" s="1"/>
  <c r="K114" i="1"/>
  <c r="M114" i="1" s="1"/>
  <c r="O113" i="1"/>
  <c r="P113" i="1" s="1"/>
  <c r="M113" i="1"/>
  <c r="K113" i="1"/>
  <c r="K112" i="1"/>
  <c r="M112" i="1" s="1"/>
  <c r="M111" i="1"/>
  <c r="O111" i="1" s="1"/>
  <c r="P111" i="1" s="1"/>
  <c r="K111" i="1"/>
  <c r="K110" i="1"/>
  <c r="M110" i="1" s="1"/>
  <c r="K109" i="1"/>
  <c r="M109" i="1" s="1"/>
  <c r="K108" i="1"/>
  <c r="M108" i="1" s="1"/>
  <c r="K107" i="1"/>
  <c r="M107" i="1" s="1"/>
  <c r="K106" i="1"/>
  <c r="M106" i="1" s="1"/>
  <c r="M105" i="1"/>
  <c r="K105" i="1"/>
  <c r="M104" i="1"/>
  <c r="K104" i="1"/>
  <c r="K103" i="1"/>
  <c r="M103" i="1" s="1"/>
  <c r="K102" i="1"/>
  <c r="M102" i="1" s="1"/>
  <c r="O101" i="1"/>
  <c r="P101" i="1" s="1"/>
  <c r="M101" i="1"/>
  <c r="K101" i="1"/>
  <c r="K100" i="1"/>
  <c r="M100" i="1" s="1"/>
  <c r="M99" i="1"/>
  <c r="O99" i="1" s="1"/>
  <c r="P99" i="1" s="1"/>
  <c r="K99" i="1"/>
  <c r="K98" i="1"/>
  <c r="M98" i="1" s="1"/>
  <c r="K97" i="1"/>
  <c r="M97" i="1" s="1"/>
  <c r="K96" i="1"/>
  <c r="M96" i="1" s="1"/>
  <c r="K95" i="1"/>
  <c r="M95" i="1" s="1"/>
  <c r="K94" i="1"/>
  <c r="M94" i="1" s="1"/>
  <c r="M93" i="1"/>
  <c r="O93" i="1" s="1"/>
  <c r="K93" i="1"/>
  <c r="M92" i="1"/>
  <c r="K92" i="1"/>
  <c r="K91" i="1"/>
  <c r="M91" i="1" s="1"/>
  <c r="K90" i="1"/>
  <c r="M90" i="1" s="1"/>
  <c r="O89" i="1"/>
  <c r="P89" i="1" s="1"/>
  <c r="M89" i="1"/>
  <c r="K89" i="1"/>
  <c r="K88" i="1"/>
  <c r="M88" i="1" s="1"/>
  <c r="M87" i="1"/>
  <c r="O87" i="1" s="1"/>
  <c r="P87" i="1" s="1"/>
  <c r="K87" i="1"/>
  <c r="K86" i="1"/>
  <c r="M86" i="1" s="1"/>
  <c r="K85" i="1"/>
  <c r="M85" i="1" s="1"/>
  <c r="K84" i="1"/>
  <c r="M84" i="1" s="1"/>
  <c r="K83" i="1"/>
  <c r="M83" i="1" s="1"/>
  <c r="K82" i="1"/>
  <c r="M82" i="1" s="1"/>
  <c r="M81" i="1"/>
  <c r="O81" i="1" s="1"/>
  <c r="K81" i="1"/>
  <c r="M80" i="1"/>
  <c r="K80" i="1"/>
  <c r="K79" i="1"/>
  <c r="M79" i="1" s="1"/>
  <c r="K78" i="1"/>
  <c r="M78" i="1" s="1"/>
  <c r="O77" i="1"/>
  <c r="P77" i="1" s="1"/>
  <c r="M77" i="1"/>
  <c r="K77" i="1"/>
  <c r="K76" i="1"/>
  <c r="M76" i="1" s="1"/>
  <c r="M75" i="1"/>
  <c r="O75" i="1" s="1"/>
  <c r="P75" i="1" s="1"/>
  <c r="K75" i="1"/>
  <c r="K74" i="1"/>
  <c r="M74" i="1" s="1"/>
  <c r="M73" i="1"/>
  <c r="K73" i="1"/>
  <c r="M72" i="1"/>
  <c r="K72" i="1"/>
  <c r="K71" i="1"/>
  <c r="M71" i="1" s="1"/>
  <c r="K70" i="1"/>
  <c r="M70" i="1" s="1"/>
  <c r="K69" i="1"/>
  <c r="M69" i="1" s="1"/>
  <c r="M68" i="1"/>
  <c r="O68" i="1" s="1"/>
  <c r="P68" i="1" s="1"/>
  <c r="K68" i="1"/>
  <c r="K67" i="1"/>
  <c r="M67" i="1" s="1"/>
  <c r="M66" i="1"/>
  <c r="K66" i="1"/>
  <c r="M65" i="1"/>
  <c r="K65" i="1"/>
  <c r="M64" i="1"/>
  <c r="K64" i="1"/>
  <c r="K63" i="1"/>
  <c r="M63" i="1" s="1"/>
  <c r="K62" i="1"/>
  <c r="M62" i="1" s="1"/>
  <c r="M61" i="1"/>
  <c r="K61" i="1"/>
  <c r="K60" i="1"/>
  <c r="M60" i="1" s="1"/>
  <c r="M59" i="1"/>
  <c r="K59" i="1"/>
  <c r="K58" i="1"/>
  <c r="M58" i="1" s="1"/>
  <c r="M57" i="1"/>
  <c r="O57" i="1" s="1"/>
  <c r="P57" i="1" s="1"/>
  <c r="K57" i="1"/>
  <c r="K56" i="1"/>
  <c r="M56" i="1" s="1"/>
  <c r="M55" i="1"/>
  <c r="K55" i="1"/>
  <c r="M54" i="1"/>
  <c r="K54" i="1"/>
  <c r="K53" i="1"/>
  <c r="M53" i="1" s="1"/>
  <c r="K52" i="1"/>
  <c r="M52" i="1" s="1"/>
  <c r="K51" i="1"/>
  <c r="M51" i="1" s="1"/>
  <c r="K50" i="1"/>
  <c r="M50" i="1" s="1"/>
  <c r="K49" i="1"/>
  <c r="M49" i="1" s="1"/>
  <c r="K48" i="1"/>
  <c r="M48" i="1" s="1"/>
  <c r="M47" i="1"/>
  <c r="O47" i="1" s="1"/>
  <c r="P47" i="1" s="1"/>
  <c r="K47" i="1"/>
  <c r="K46" i="1"/>
  <c r="M46" i="1" s="1"/>
  <c r="K45" i="1"/>
  <c r="M45" i="1" s="1"/>
  <c r="M44" i="1"/>
  <c r="O44" i="1" s="1"/>
  <c r="P44" i="1" s="1"/>
  <c r="K44" i="1"/>
  <c r="K43" i="1"/>
  <c r="M43" i="1" s="1"/>
  <c r="K42" i="1"/>
  <c r="M42" i="1" s="1"/>
  <c r="M41" i="1"/>
  <c r="O41" i="1" s="1"/>
  <c r="P41" i="1" s="1"/>
  <c r="K41" i="1"/>
  <c r="K40" i="1"/>
  <c r="M40" i="1" s="1"/>
  <c r="K39" i="1"/>
  <c r="M39" i="1" s="1"/>
  <c r="M38" i="1"/>
  <c r="O38" i="1" s="1"/>
  <c r="P38" i="1" s="1"/>
  <c r="K38" i="1"/>
  <c r="K37" i="1"/>
  <c r="M37" i="1" s="1"/>
  <c r="K36" i="1"/>
  <c r="M36" i="1" s="1"/>
  <c r="M35" i="1"/>
  <c r="O35" i="1" s="1"/>
  <c r="P35" i="1" s="1"/>
  <c r="K35" i="1"/>
  <c r="K34" i="1"/>
  <c r="M34" i="1" s="1"/>
  <c r="K33" i="1"/>
  <c r="M33" i="1" s="1"/>
  <c r="M32" i="1"/>
  <c r="O32" i="1" s="1"/>
  <c r="P32" i="1" s="1"/>
  <c r="K32" i="1"/>
  <c r="K31" i="1"/>
  <c r="M31" i="1" s="1"/>
  <c r="K30" i="1"/>
  <c r="M30" i="1" s="1"/>
  <c r="M29" i="1"/>
  <c r="O29" i="1" s="1"/>
  <c r="P29" i="1" s="1"/>
  <c r="K29" i="1"/>
  <c r="K28" i="1"/>
  <c r="M28" i="1" s="1"/>
  <c r="K27" i="1"/>
  <c r="M27" i="1" s="1"/>
  <c r="M26" i="1"/>
  <c r="O26" i="1" s="1"/>
  <c r="P26" i="1" s="1"/>
  <c r="K26" i="1"/>
  <c r="K25" i="1"/>
  <c r="M25" i="1" s="1"/>
  <c r="K24" i="1"/>
  <c r="M24" i="1" s="1"/>
  <c r="M23" i="1"/>
  <c r="O23" i="1" s="1"/>
  <c r="P23" i="1" s="1"/>
  <c r="K23" i="1"/>
  <c r="K22" i="1"/>
  <c r="M22" i="1" s="1"/>
  <c r="K21" i="1"/>
  <c r="M21" i="1" s="1"/>
  <c r="M20" i="1"/>
  <c r="O20" i="1" s="1"/>
  <c r="P20" i="1" s="1"/>
  <c r="K20" i="1"/>
  <c r="K19" i="1"/>
  <c r="M19" i="1" s="1"/>
  <c r="K18" i="1"/>
  <c r="M18" i="1" s="1"/>
  <c r="M17" i="1"/>
  <c r="O17" i="1" s="1"/>
  <c r="K17" i="1"/>
  <c r="K16" i="1"/>
  <c r="M16" i="1" s="1"/>
  <c r="K15" i="1"/>
  <c r="M15" i="1" s="1"/>
  <c r="M14" i="1"/>
  <c r="O14" i="1" s="1"/>
  <c r="K14" i="1"/>
  <c r="K13" i="1"/>
  <c r="M13" i="1" s="1"/>
  <c r="K12" i="1"/>
  <c r="M12" i="1" s="1"/>
  <c r="M11" i="1"/>
  <c r="O11" i="1" s="1"/>
  <c r="K11" i="1"/>
  <c r="K10" i="1"/>
  <c r="M10" i="1" s="1"/>
  <c r="K9" i="1"/>
  <c r="M9" i="1" s="1"/>
  <c r="M8" i="1"/>
  <c r="O8" i="1" s="1"/>
  <c r="K8" i="1"/>
  <c r="K7" i="1"/>
  <c r="M7" i="1" s="1"/>
  <c r="K6" i="1"/>
  <c r="M6" i="1" s="1"/>
  <c r="M5" i="1"/>
  <c r="O5" i="1" s="1"/>
  <c r="K5" i="1"/>
  <c r="K4" i="1"/>
  <c r="M4" i="1" s="1"/>
  <c r="K3" i="1"/>
  <c r="M3" i="1" s="1"/>
  <c r="M2" i="1"/>
  <c r="O2" i="1" s="1"/>
  <c r="K2" i="1"/>
  <c r="O4" i="1" l="1"/>
  <c r="O107" i="1"/>
  <c r="P107" i="1" s="1"/>
  <c r="O21" i="1"/>
  <c r="P21" i="1"/>
  <c r="O263" i="1"/>
  <c r="P263" i="1" s="1"/>
  <c r="O40" i="1"/>
  <c r="P40" i="1" s="1"/>
  <c r="O108" i="1"/>
  <c r="P108" i="1" s="1"/>
  <c r="O134" i="1"/>
  <c r="P134" i="1" s="1"/>
  <c r="P206" i="1"/>
  <c r="P213" i="1"/>
  <c r="P222" i="1"/>
  <c r="O222" i="1"/>
  <c r="O231" i="1"/>
  <c r="P231" i="1" s="1"/>
  <c r="P239" i="1"/>
  <c r="O239" i="1"/>
  <c r="O273" i="1"/>
  <c r="P273" i="1" s="1"/>
  <c r="O284" i="1"/>
  <c r="P284" i="1" s="1"/>
  <c r="O48" i="1"/>
  <c r="P48" i="1" s="1"/>
  <c r="P49" i="1"/>
  <c r="O49" i="1"/>
  <c r="O174" i="1"/>
  <c r="P174" i="1" s="1"/>
  <c r="P240" i="1"/>
  <c r="O240" i="1"/>
  <c r="O132" i="1"/>
  <c r="P132" i="1" s="1"/>
  <c r="O293" i="1"/>
  <c r="P293" i="1" s="1"/>
  <c r="O13" i="1"/>
  <c r="O50" i="1"/>
  <c r="P50" i="1" s="1"/>
  <c r="O42" i="1"/>
  <c r="P42" i="1"/>
  <c r="O110" i="1"/>
  <c r="P110" i="1" s="1"/>
  <c r="O143" i="1"/>
  <c r="P143" i="1" s="1"/>
  <c r="O167" i="1"/>
  <c r="P167" i="1" s="1"/>
  <c r="O191" i="1"/>
  <c r="P191" i="1" s="1"/>
  <c r="O215" i="1"/>
  <c r="P215" i="1" s="1"/>
  <c r="O275" i="1"/>
  <c r="P275" i="1"/>
  <c r="O39" i="1"/>
  <c r="P39" i="1"/>
  <c r="O246" i="1"/>
  <c r="P246" i="1" s="1"/>
  <c r="O51" i="1"/>
  <c r="P51" i="1" s="1"/>
  <c r="O198" i="1"/>
  <c r="P198" i="1" s="1"/>
  <c r="O15" i="1"/>
  <c r="O7" i="1"/>
  <c r="O43" i="1"/>
  <c r="P43" i="1" s="1"/>
  <c r="O53" i="1"/>
  <c r="P53" i="1" s="1"/>
  <c r="P144" i="1"/>
  <c r="O144" i="1"/>
  <c r="P168" i="1"/>
  <c r="O168" i="1"/>
  <c r="O192" i="1"/>
  <c r="P192" i="1" s="1"/>
  <c r="P216" i="1"/>
  <c r="O216" i="1"/>
  <c r="O258" i="1"/>
  <c r="P258" i="1" s="1"/>
  <c r="P266" i="1"/>
  <c r="O276" i="1"/>
  <c r="P276" i="1" s="1"/>
  <c r="O12" i="1"/>
  <c r="O22" i="1"/>
  <c r="P22" i="1" s="1"/>
  <c r="O272" i="1"/>
  <c r="P272" i="1" s="1"/>
  <c r="O83" i="1"/>
  <c r="P83" i="1" s="1"/>
  <c r="O33" i="1"/>
  <c r="P33" i="1" s="1"/>
  <c r="P126" i="1"/>
  <c r="O126" i="1"/>
  <c r="O25" i="1"/>
  <c r="P25" i="1" s="1"/>
  <c r="O69" i="1"/>
  <c r="P69" i="1" s="1"/>
  <c r="O102" i="1"/>
  <c r="P102" i="1" s="1"/>
  <c r="O119" i="1"/>
  <c r="P119" i="1" s="1"/>
  <c r="P176" i="1"/>
  <c r="P200" i="1"/>
  <c r="O267" i="1"/>
  <c r="P267" i="1"/>
  <c r="P287" i="1"/>
  <c r="O287" i="1"/>
  <c r="O282" i="1"/>
  <c r="P282" i="1" s="1"/>
  <c r="O90" i="1"/>
  <c r="P90" i="1" s="1"/>
  <c r="P230" i="1"/>
  <c r="P66" i="1"/>
  <c r="P116" i="1"/>
  <c r="O67" i="1"/>
  <c r="P67" i="1" s="1"/>
  <c r="O24" i="1"/>
  <c r="P24" i="1"/>
  <c r="O16" i="1"/>
  <c r="O34" i="1"/>
  <c r="P34" i="1" s="1"/>
  <c r="O86" i="1"/>
  <c r="P86" i="1" s="1"/>
  <c r="P54" i="1"/>
  <c r="O62" i="1"/>
  <c r="P62" i="1"/>
  <c r="O70" i="1"/>
  <c r="P70" i="1" s="1"/>
  <c r="O120" i="1"/>
  <c r="P120" i="1" s="1"/>
  <c r="P225" i="1"/>
  <c r="O234" i="1"/>
  <c r="P234" i="1" s="1"/>
  <c r="O243" i="1"/>
  <c r="P243" i="1" s="1"/>
  <c r="O251" i="1"/>
  <c r="P251" i="1" s="1"/>
  <c r="O278" i="1"/>
  <c r="P278" i="1" s="1"/>
  <c r="O288" i="1"/>
  <c r="P288" i="1" s="1"/>
  <c r="O297" i="1"/>
  <c r="P297" i="1" s="1"/>
  <c r="O31" i="1"/>
  <c r="P31" i="1" s="1"/>
  <c r="P59" i="1"/>
  <c r="O18" i="1"/>
  <c r="P18" i="1"/>
  <c r="O3" i="1"/>
  <c r="O255" i="1"/>
  <c r="P255" i="1" s="1"/>
  <c r="O6" i="1"/>
  <c r="O52" i="1"/>
  <c r="P52" i="1" s="1"/>
  <c r="O36" i="1"/>
  <c r="P36" i="1"/>
  <c r="O78" i="1"/>
  <c r="P78" i="1" s="1"/>
  <c r="O279" i="1"/>
  <c r="P279" i="1" s="1"/>
  <c r="O10" i="1"/>
  <c r="O37" i="1"/>
  <c r="P37" i="1"/>
  <c r="O96" i="1"/>
  <c r="P96" i="1" s="1"/>
  <c r="O122" i="1"/>
  <c r="P122" i="1" s="1"/>
  <c r="P129" i="1"/>
  <c r="O138" i="1"/>
  <c r="P138" i="1" s="1"/>
  <c r="O162" i="1"/>
  <c r="P162" i="1" s="1"/>
  <c r="O186" i="1"/>
  <c r="P186" i="1" s="1"/>
  <c r="O210" i="1"/>
  <c r="P210" i="1" s="1"/>
  <c r="O219" i="1"/>
  <c r="P219" i="1" s="1"/>
  <c r="O227" i="1"/>
  <c r="P227" i="1" s="1"/>
  <c r="P269" i="1"/>
  <c r="P290" i="1"/>
  <c r="O290" i="1"/>
  <c r="O299" i="1"/>
  <c r="P299" i="1" s="1"/>
  <c r="P237" i="1"/>
  <c r="O58" i="1"/>
  <c r="P58" i="1" s="1"/>
  <c r="O150" i="1"/>
  <c r="P150" i="1" s="1"/>
  <c r="O84" i="1"/>
  <c r="P84" i="1" s="1"/>
  <c r="O27" i="1"/>
  <c r="P27" i="1"/>
  <c r="O63" i="1"/>
  <c r="P63" i="1" s="1"/>
  <c r="P218" i="1"/>
  <c r="O19" i="1"/>
  <c r="P19" i="1"/>
  <c r="P28" i="1"/>
  <c r="O28" i="1"/>
  <c r="O46" i="1"/>
  <c r="P46" i="1" s="1"/>
  <c r="O56" i="1"/>
  <c r="P56" i="1"/>
  <c r="P72" i="1"/>
  <c r="O155" i="1"/>
  <c r="P155" i="1" s="1"/>
  <c r="O179" i="1"/>
  <c r="P179" i="1" s="1"/>
  <c r="O203" i="1"/>
  <c r="P203" i="1" s="1"/>
  <c r="O228" i="1"/>
  <c r="P228" i="1" s="1"/>
  <c r="O291" i="1"/>
  <c r="P291" i="1" s="1"/>
  <c r="P300" i="1"/>
  <c r="O300" i="1"/>
  <c r="O30" i="1"/>
  <c r="P30" i="1" s="1"/>
  <c r="O74" i="1"/>
  <c r="P74" i="1"/>
  <c r="O60" i="1"/>
  <c r="P60" i="1" s="1"/>
  <c r="O9" i="1"/>
  <c r="O45" i="1"/>
  <c r="P45" i="1"/>
  <c r="O71" i="1"/>
  <c r="P71" i="1" s="1"/>
  <c r="O95" i="1"/>
  <c r="P95" i="1" s="1"/>
  <c r="P252" i="1"/>
  <c r="O252" i="1"/>
  <c r="P80" i="1"/>
  <c r="O98" i="1"/>
  <c r="P98" i="1" s="1"/>
  <c r="P114" i="1"/>
  <c r="O114" i="1"/>
  <c r="P131" i="1"/>
  <c r="O131" i="1"/>
  <c r="O156" i="1"/>
  <c r="P156" i="1" s="1"/>
  <c r="P180" i="1"/>
  <c r="O180" i="1"/>
  <c r="P204" i="1"/>
  <c r="O204" i="1"/>
  <c r="P254" i="1"/>
  <c r="P85" i="1"/>
  <c r="O85" i="1"/>
  <c r="P286" i="1"/>
  <c r="O286" i="1"/>
  <c r="O59" i="1"/>
  <c r="O66" i="1"/>
  <c r="O105" i="1"/>
  <c r="P105" i="1" s="1"/>
  <c r="O117" i="1"/>
  <c r="P117" i="1" s="1"/>
  <c r="O129" i="1"/>
  <c r="O141" i="1"/>
  <c r="P141" i="1" s="1"/>
  <c r="O153" i="1"/>
  <c r="P153" i="1" s="1"/>
  <c r="O165" i="1"/>
  <c r="P165" i="1" s="1"/>
  <c r="O177" i="1"/>
  <c r="P177" i="1" s="1"/>
  <c r="O189" i="1"/>
  <c r="P189" i="1" s="1"/>
  <c r="O201" i="1"/>
  <c r="P201" i="1" s="1"/>
  <c r="O213" i="1"/>
  <c r="O225" i="1"/>
  <c r="O237" i="1"/>
  <c r="O249" i="1"/>
  <c r="P249" i="1" s="1"/>
  <c r="P261" i="1"/>
  <c r="O266" i="1"/>
  <c r="O271" i="1"/>
  <c r="P271" i="1" s="1"/>
  <c r="O281" i="1"/>
  <c r="P281" i="1" s="1"/>
  <c r="P97" i="1"/>
  <c r="O97" i="1"/>
  <c r="P193" i="1"/>
  <c r="O193" i="1"/>
  <c r="P81" i="1"/>
  <c r="P93" i="1"/>
  <c r="P262" i="1"/>
  <c r="O262" i="1"/>
  <c r="P292" i="1"/>
  <c r="O292" i="1"/>
  <c r="O73" i="1"/>
  <c r="P73" i="1" s="1"/>
  <c r="P82" i="1"/>
  <c r="O82" i="1"/>
  <c r="P94" i="1"/>
  <c r="O94" i="1"/>
  <c r="O106" i="1"/>
  <c r="P106" i="1" s="1"/>
  <c r="P118" i="1"/>
  <c r="O118" i="1"/>
  <c r="P130" i="1"/>
  <c r="O130" i="1"/>
  <c r="O142" i="1"/>
  <c r="P142" i="1" s="1"/>
  <c r="O146" i="1"/>
  <c r="P146" i="1" s="1"/>
  <c r="O154" i="1"/>
  <c r="P154" i="1" s="1"/>
  <c r="O158" i="1"/>
  <c r="P158" i="1" s="1"/>
  <c r="O166" i="1"/>
  <c r="P166" i="1" s="1"/>
  <c r="O170" i="1"/>
  <c r="P170" i="1" s="1"/>
  <c r="O178" i="1"/>
  <c r="P178" i="1" s="1"/>
  <c r="O182" i="1"/>
  <c r="P182" i="1" s="1"/>
  <c r="O190" i="1"/>
  <c r="P190" i="1" s="1"/>
  <c r="O194" i="1"/>
  <c r="P194" i="1" s="1"/>
  <c r="O202" i="1"/>
  <c r="P202" i="1" s="1"/>
  <c r="O206" i="1"/>
  <c r="O214" i="1"/>
  <c r="P214" i="1" s="1"/>
  <c r="O218" i="1"/>
  <c r="O226" i="1"/>
  <c r="P226" i="1" s="1"/>
  <c r="O230" i="1"/>
  <c r="O238" i="1"/>
  <c r="P238" i="1" s="1"/>
  <c r="O242" i="1"/>
  <c r="P242" i="1" s="1"/>
  <c r="O250" i="1"/>
  <c r="P250" i="1" s="1"/>
  <c r="O254" i="1"/>
  <c r="O277" i="1"/>
  <c r="P277" i="1" s="1"/>
  <c r="P55" i="1"/>
  <c r="O55" i="1"/>
  <c r="P298" i="1"/>
  <c r="O298" i="1"/>
  <c r="O181" i="1"/>
  <c r="P181" i="1" s="1"/>
  <c r="P253" i="1"/>
  <c r="O253" i="1"/>
  <c r="P283" i="1"/>
  <c r="O283" i="1"/>
  <c r="O109" i="1"/>
  <c r="P109" i="1" s="1"/>
  <c r="P157" i="1"/>
  <c r="O157" i="1"/>
  <c r="P270" i="1"/>
  <c r="O270" i="1"/>
  <c r="O79" i="1"/>
  <c r="P79" i="1" s="1"/>
  <c r="P103" i="1"/>
  <c r="O103" i="1"/>
  <c r="P115" i="1"/>
  <c r="O115" i="1"/>
  <c r="O127" i="1"/>
  <c r="P127" i="1" s="1"/>
  <c r="P139" i="1"/>
  <c r="O139" i="1"/>
  <c r="P151" i="1"/>
  <c r="O151" i="1"/>
  <c r="O163" i="1"/>
  <c r="P163" i="1" s="1"/>
  <c r="O175" i="1"/>
  <c r="P175" i="1" s="1"/>
  <c r="P187" i="1"/>
  <c r="O187" i="1"/>
  <c r="O199" i="1"/>
  <c r="P199" i="1" s="1"/>
  <c r="P211" i="1"/>
  <c r="O211" i="1"/>
  <c r="P223" i="1"/>
  <c r="O223" i="1"/>
  <c r="O235" i="1"/>
  <c r="P235" i="1" s="1"/>
  <c r="O247" i="1"/>
  <c r="P247" i="1" s="1"/>
  <c r="P259" i="1"/>
  <c r="O259" i="1"/>
  <c r="O268" i="1"/>
  <c r="P268" i="1" s="1"/>
  <c r="P133" i="1"/>
  <c r="O133" i="1"/>
  <c r="P64" i="1"/>
  <c r="O64" i="1"/>
  <c r="O91" i="1"/>
  <c r="P91" i="1" s="1"/>
  <c r="O289" i="1"/>
  <c r="P289" i="1" s="1"/>
  <c r="P145" i="1"/>
  <c r="O145" i="1"/>
  <c r="O205" i="1"/>
  <c r="P205" i="1" s="1"/>
  <c r="P274" i="1"/>
  <c r="O274" i="1"/>
  <c r="P294" i="1"/>
  <c r="O294" i="1"/>
  <c r="O121" i="1"/>
  <c r="P121" i="1" s="1"/>
  <c r="O241" i="1"/>
  <c r="P241" i="1" s="1"/>
  <c r="P76" i="1"/>
  <c r="O76" i="1"/>
  <c r="O80" i="1"/>
  <c r="O88" i="1"/>
  <c r="P88" i="1" s="1"/>
  <c r="O92" i="1"/>
  <c r="P92" i="1" s="1"/>
  <c r="P100" i="1"/>
  <c r="O100" i="1"/>
  <c r="O104" i="1"/>
  <c r="P104" i="1" s="1"/>
  <c r="O112" i="1"/>
  <c r="P112" i="1" s="1"/>
  <c r="O116" i="1"/>
  <c r="P124" i="1"/>
  <c r="O124" i="1"/>
  <c r="O128" i="1"/>
  <c r="P128" i="1" s="1"/>
  <c r="O136" i="1"/>
  <c r="P136" i="1" s="1"/>
  <c r="O140" i="1"/>
  <c r="P140" i="1" s="1"/>
  <c r="P148" i="1"/>
  <c r="O148" i="1"/>
  <c r="O152" i="1"/>
  <c r="P152" i="1" s="1"/>
  <c r="O160" i="1"/>
  <c r="P160" i="1" s="1"/>
  <c r="O164" i="1"/>
  <c r="P164" i="1" s="1"/>
  <c r="P172" i="1"/>
  <c r="O172" i="1"/>
  <c r="O176" i="1"/>
  <c r="O184" i="1"/>
  <c r="P184" i="1" s="1"/>
  <c r="O188" i="1"/>
  <c r="P188" i="1" s="1"/>
  <c r="P196" i="1"/>
  <c r="O196" i="1"/>
  <c r="O200" i="1"/>
  <c r="O208" i="1"/>
  <c r="P208" i="1" s="1"/>
  <c r="O212" i="1"/>
  <c r="P212" i="1" s="1"/>
  <c r="P220" i="1"/>
  <c r="O220" i="1"/>
  <c r="O224" i="1"/>
  <c r="P224" i="1" s="1"/>
  <c r="O232" i="1"/>
  <c r="P232" i="1" s="1"/>
  <c r="O236" i="1"/>
  <c r="P236" i="1" s="1"/>
  <c r="P244" i="1"/>
  <c r="O244" i="1"/>
  <c r="O248" i="1"/>
  <c r="P248" i="1" s="1"/>
  <c r="O256" i="1"/>
  <c r="P256" i="1" s="1"/>
  <c r="O260" i="1"/>
  <c r="P260" i="1" s="1"/>
  <c r="P264" i="1"/>
  <c r="O269" i="1"/>
  <c r="O295" i="1"/>
  <c r="P295" i="1" s="1"/>
  <c r="P217" i="1"/>
  <c r="O217" i="1"/>
  <c r="O54" i="1"/>
  <c r="O65" i="1"/>
  <c r="P65" i="1" s="1"/>
  <c r="O72" i="1"/>
  <c r="O265" i="1"/>
  <c r="P265" i="1" s="1"/>
  <c r="O280" i="1"/>
  <c r="P280" i="1" s="1"/>
  <c r="O169" i="1"/>
  <c r="P169" i="1" s="1"/>
  <c r="O229" i="1"/>
  <c r="P229" i="1" s="1"/>
  <c r="O61" i="1"/>
  <c r="P61" i="1" s="1"/>
  <c r="O285" i="1"/>
  <c r="P285" i="1" s="1"/>
  <c r="O301" i="1"/>
  <c r="P301" i="1" s="1"/>
</calcChain>
</file>

<file path=xl/sharedStrings.xml><?xml version="1.0" encoding="utf-8"?>
<sst xmlns="http://schemas.openxmlformats.org/spreadsheetml/2006/main" count="2336" uniqueCount="484">
  <si>
    <t>Order ID</t>
  </si>
  <si>
    <t>Date</t>
  </si>
  <si>
    <t>Month</t>
  </si>
  <si>
    <t>Quarter</t>
  </si>
  <si>
    <t>Region</t>
  </si>
  <si>
    <t>Category</t>
  </si>
  <si>
    <t>Product</t>
  </si>
  <si>
    <t>Sales Rep</t>
  </si>
  <si>
    <t>Unit Price</t>
  </si>
  <si>
    <t>Units Sold</t>
  </si>
  <si>
    <t>Revenue</t>
  </si>
  <si>
    <t>Discount %</t>
  </si>
  <si>
    <t>Net Revenue</t>
  </si>
  <si>
    <t>Cost</t>
  </si>
  <si>
    <t>Profit</t>
  </si>
  <si>
    <t>Profit Margin %</t>
  </si>
  <si>
    <t>ORD-0001</t>
  </si>
  <si>
    <t>Nov</t>
  </si>
  <si>
    <t>Q4</t>
  </si>
  <si>
    <t>North</t>
  </si>
  <si>
    <t>Office Supplies</t>
  </si>
  <si>
    <t>Pens Set</t>
  </si>
  <si>
    <t>David Lee</t>
  </si>
  <si>
    <t>ORD-0002</t>
  </si>
  <si>
    <t>Jan</t>
  </si>
  <si>
    <t>Q1</t>
  </si>
  <si>
    <t>Furniture</t>
  </si>
  <si>
    <t>Chair</t>
  </si>
  <si>
    <t>Alice Johnson</t>
  </si>
  <si>
    <t>ORD-0003</t>
  </si>
  <si>
    <t>Oct</t>
  </si>
  <si>
    <t>Cabinet</t>
  </si>
  <si>
    <t>Frank Wilson</t>
  </si>
  <si>
    <t>ORD-0004</t>
  </si>
  <si>
    <t>Jul</t>
  </si>
  <si>
    <t>Q3</t>
  </si>
  <si>
    <t>East</t>
  </si>
  <si>
    <t>Folders</t>
  </si>
  <si>
    <t>Emma Davis</t>
  </si>
  <si>
    <t>ORD-0005</t>
  </si>
  <si>
    <t>Sports</t>
  </si>
  <si>
    <t>Tennis Racket</t>
  </si>
  <si>
    <t>ORD-0006</t>
  </si>
  <si>
    <t>Feb</t>
  </si>
  <si>
    <t>South</t>
  </si>
  <si>
    <t>Electronics</t>
  </si>
  <si>
    <t>Headphones</t>
  </si>
  <si>
    <t>ORD-0007</t>
  </si>
  <si>
    <t>Jun</t>
  </si>
  <si>
    <t>Q2</t>
  </si>
  <si>
    <t>Webcam</t>
  </si>
  <si>
    <t>Carol White</t>
  </si>
  <si>
    <t>ORD-0008</t>
  </si>
  <si>
    <t>May</t>
  </si>
  <si>
    <t>Notebook</t>
  </si>
  <si>
    <t>ORD-0009</t>
  </si>
  <si>
    <t>Grace Kim</t>
  </si>
  <si>
    <t>ORD-0010</t>
  </si>
  <si>
    <t>Mar</t>
  </si>
  <si>
    <t>Jump Rope</t>
  </si>
  <si>
    <t>ORD-0011</t>
  </si>
  <si>
    <t>ORD-0012</t>
  </si>
  <si>
    <t>Aug</t>
  </si>
  <si>
    <t>Yoga Mat</t>
  </si>
  <si>
    <t>Bob Martinez</t>
  </si>
  <si>
    <t>ORD-0013</t>
  </si>
  <si>
    <t>Clothing</t>
  </si>
  <si>
    <t>Jacket</t>
  </si>
  <si>
    <t>Henry Brown</t>
  </si>
  <si>
    <t>ORD-0014</t>
  </si>
  <si>
    <t>ORD-0015</t>
  </si>
  <si>
    <t>Sep</t>
  </si>
  <si>
    <t>T-Shirt</t>
  </si>
  <si>
    <t>ORD-0016</t>
  </si>
  <si>
    <t>Apr</t>
  </si>
  <si>
    <t>ORD-0017</t>
  </si>
  <si>
    <t>ORD-0018</t>
  </si>
  <si>
    <t>Hat</t>
  </si>
  <si>
    <t>ORD-0019</t>
  </si>
  <si>
    <t>Dumbbells</t>
  </si>
  <si>
    <t>ORD-0020</t>
  </si>
  <si>
    <t>ORD-0021</t>
  </si>
  <si>
    <t>Dec</t>
  </si>
  <si>
    <t>West</t>
  </si>
  <si>
    <t>ORD-0022</t>
  </si>
  <si>
    <t>Laptop</t>
  </si>
  <si>
    <t>ORD-0023</t>
  </si>
  <si>
    <t>ORD-0024</t>
  </si>
  <si>
    <t>ORD-0025</t>
  </si>
  <si>
    <t>ORD-0026</t>
  </si>
  <si>
    <t>ORD-0027</t>
  </si>
  <si>
    <t>ORD-0028</t>
  </si>
  <si>
    <t>ORD-0029</t>
  </si>
  <si>
    <t>ORD-0030</t>
  </si>
  <si>
    <t>Bookshelf</t>
  </si>
  <si>
    <t>ORD-0031</t>
  </si>
  <si>
    <t>Water Bottle</t>
  </si>
  <si>
    <t>ORD-0032</t>
  </si>
  <si>
    <t>Stapler</t>
  </si>
  <si>
    <t>ORD-0033</t>
  </si>
  <si>
    <t>ORD-0034</t>
  </si>
  <si>
    <t>ORD-0035</t>
  </si>
  <si>
    <t>ORD-0036</t>
  </si>
  <si>
    <t>ORD-0037</t>
  </si>
  <si>
    <t>ORD-0038</t>
  </si>
  <si>
    <t>Keyboard</t>
  </si>
  <si>
    <t>ORD-0039</t>
  </si>
  <si>
    <t>ORD-0040</t>
  </si>
  <si>
    <t>ORD-0041</t>
  </si>
  <si>
    <t>ORD-0042</t>
  </si>
  <si>
    <t>ORD-0043</t>
  </si>
  <si>
    <t>ORD-0044</t>
  </si>
  <si>
    <t>ORD-0045</t>
  </si>
  <si>
    <t>Printer Paper</t>
  </si>
  <si>
    <t>ORD-0046</t>
  </si>
  <si>
    <t>ORD-0047</t>
  </si>
  <si>
    <t>Shoes</t>
  </si>
  <si>
    <t>ORD-0048</t>
  </si>
  <si>
    <t>ORD-0049</t>
  </si>
  <si>
    <t>ORD-0050</t>
  </si>
  <si>
    <t>Desk</t>
  </si>
  <si>
    <t>ORD-0051</t>
  </si>
  <si>
    <t>ORD-0052</t>
  </si>
  <si>
    <t>ORD-0053</t>
  </si>
  <si>
    <t>ORD-0054</t>
  </si>
  <si>
    <t>Trousers</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</si>
  <si>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</si>
  <si>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</si>
  <si>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</si>
  <si>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</si>
  <si>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</si>
  <si>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</si>
  <si>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</si>
  <si>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</si>
  <si>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</si>
  <si>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</si>
  <si>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</si>
  <si>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</si>
  <si>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</si>
  <si>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</si>
  <si>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</si>
  <si>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</si>
  <si>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</si>
  <si>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</si>
  <si>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</si>
  <si>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</si>
  <si>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</si>
  <si>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</si>
  <si>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</si>
  <si>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</si>
  <si>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</si>
  <si>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</si>
  <si>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</si>
  <si>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</si>
  <si>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</si>
  <si>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Monitor</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</si>
  <si>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</si>
  <si>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</si>
  <si>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</si>
  <si>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</si>
  <si>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</si>
  <si>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</si>
  <si>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</si>
  <si>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</si>
  <si>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</si>
  <si>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</si>
  <si>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</si>
  <si>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</si>
  <si>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</si>
  <si>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</si>
  <si>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</si>
  <si>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</si>
  <si>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</si>
  <si>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</si>
  <si>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</si>
  <si>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</si>
  <si>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</si>
  <si>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</si>
  <si>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</si>
  <si>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</si>
  <si>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</si>
  <si>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</si>
  <si>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</si>
  <si>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</si>
  <si>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</si>
  <si>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</si>
  <si>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</si>
  <si>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</si>
  <si>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</si>
  <si>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</si>
  <si>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</si>
  <si>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</si>
  <si>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</si>
  <si>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</si>
  <si>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</si>
  <si>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</si>
  <si>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</si>
  <si>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</si>
  <si>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</si>
  <si>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</si>
  <si>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</si>
  <si>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</si>
  <si>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</si>
  <si>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</si>
  <si>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</si>
  <si>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</si>
  <si>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</si>
  <si>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Lamp</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</si>
  <si>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</si>
  <si>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</si>
  <si>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</si>
  <si>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</si>
  <si>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</si>
  <si>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</si>
  <si>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</si>
  <si>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</si>
  <si>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</si>
  <si>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</si>
  <si>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</si>
  <si>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</si>
  <si>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</si>
  <si>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</si>
  <si>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</si>
  <si>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</si>
  <si>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</si>
  <si>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</si>
  <si>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</si>
  <si>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</si>
  <si>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</si>
  <si>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</si>
  <si>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</si>
  <si>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</si>
  <si>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</si>
  <si>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</si>
  <si>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</si>
  <si>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</si>
  <si>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</si>
  <si>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</si>
  <si>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</si>
  <si>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</si>
  <si>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</si>
  <si>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</si>
  <si>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</si>
  <si>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</si>
  <si>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</si>
  <si>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</si>
  <si>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</si>
  <si>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</si>
  <si>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</si>
  <si>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</si>
  <si>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</si>
  <si>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</si>
  <si>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</si>
  <si>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</si>
  <si>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</si>
  <si>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</si>
  <si>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</si>
  <si>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</si>
  <si>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</si>
  <si>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</si>
  <si>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</si>
  <si>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</si>
  <si>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</si>
  <si>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</si>
  <si>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</si>
  <si>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</si>
  <si>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</si>
  <si>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</si>
  <si>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</si>
  <si>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</si>
  <si>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</si>
  <si>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</si>
  <si>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</si>
  <si>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</si>
  <si>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</si>
  <si>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</si>
  <si>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</si>
  <si>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</si>
  <si>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</si>
  <si>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</si>
  <si>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</si>
  <si>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</si>
  <si>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</si>
  <si>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</si>
  <si>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</si>
  <si>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</si>
  <si>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</si>
  <si>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</si>
  <si>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</si>
  <si>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</si>
  <si>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</si>
  <si>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</si>
  <si>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</si>
  <si>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</si>
  <si>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</si>
  <si>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</si>
  <si>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</si>
  <si>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</si>
  <si>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</si>
  <si>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</si>
  <si>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</si>
  <si>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</si>
  <si>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</si>
  <si>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</si>
  <si>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</si>
  <si>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</si>
  <si>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</si>
  <si>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</si>
  <si>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</si>
  <si>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</si>
  <si>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</si>
  <si>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</si>
  <si>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</si>
  <si>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</si>
  <si>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</si>
  <si>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</si>
  <si>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</si>
  <si>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</si>
  <si>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</si>
  <si>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</si>
  <si>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</si>
  <si>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</si>
  <si>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</si>
  <si>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</si>
  <si>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</si>
  <si>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</si>
  <si>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</si>
  <si>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</si>
  <si>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</si>
  <si>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</si>
  <si>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</si>
  <si>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</si>
  <si>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</si>
  <si>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</si>
  <si>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</si>
  <si>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</si>
  <si>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</si>
  <si>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</si>
  <si>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</si>
  <si>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</si>
  <si>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</si>
  <si>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</si>
  <si>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</si>
  <si>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</si>
  <si>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</si>
  <si>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</si>
  <si>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</si>
  <si>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</si>
  <si>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</si>
  <si>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</si>
  <si>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</si>
  <si>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</si>
  <si>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</si>
  <si>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</si>
  <si>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</si>
  <si>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</si>
  <si>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</si>
  <si>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</si>
  <si>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</si>
  <si>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</si>
  <si>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</si>
  <si>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</si>
  <si>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</si>
  <si>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</si>
  <si>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</si>
  <si>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</si>
  <si>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</si>
  <si>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</si>
  <si>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</si>
  <si>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</si>
  <si>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</si>
  <si>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</si>
  <si>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</si>
  <si>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</si>
  <si>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  Superstore Sales Analysis — Excel Skills Evaluation</t>
  </si>
  <si>
    <t>Dataset: 300 orders | 2023 | 5 product categories | 4 regions | 8 sales reps  —  Complete all 10 tasks in the '✏️ Your Work' sheet</t>
  </si>
  <si>
    <t>#</t>
  </si>
  <si>
    <t>Task</t>
  </si>
  <si>
    <t>Instructions</t>
  </si>
  <si>
    <t>Skills Tested</t>
  </si>
  <si>
    <t>Points</t>
  </si>
  <si>
    <t>Data Cleaning &amp; Formatting</t>
  </si>
  <si>
    <t>Formatting, Conditional Formatting</t>
  </si>
  <si>
    <t>10 pts</t>
  </si>
  <si>
    <t>Named Ranges</t>
  </si>
  <si>
    <t>Create named ranges for key columns:
• SalesData = entire table (A1:P301)
• Revenue = column K (K2:K301)
• Region = column E (E2:E301)
Use Formulas → Name Manager</t>
  </si>
  <si>
    <t>5 pts</t>
  </si>
  <si>
    <t>Formula Corner</t>
  </si>
  <si>
    <t>In the 'Your Work' sheet, use formulas to calculate:
• Total Revenue (SUM)
• Average Profit Margin % (AVERAGE)
• Highest single-order Revenue (MAX)
• Count of orders with Discount &gt; 0 (COUNTIF)
• Total Revenue from the 'Electronics' category (SUMIF)</t>
  </si>
  <si>
    <t>SUM, AVERAGE, MAX, COUNTIF, SUMIF</t>
  </si>
  <si>
    <t>15 pts</t>
  </si>
  <si>
    <t>VLOOKUP / XLOOKUP</t>
  </si>
  <si>
    <t>In the 'Your Work' sheet:
• Build a lookup table: given an Order ID (e.g. ORD-0042), return the Sales Rep, Product, and Net Revenue using VLOOKUP or XLOOKUP
• Add data validation on the Order ID input cell (list or text length)</t>
  </si>
  <si>
    <t>VLOOKUP / XLOOKUP, Data Validation</t>
  </si>
  <si>
    <t>PivotTable — Sales by Region &amp; Category</t>
  </si>
  <si>
    <t>Insert a PivotTable on a new sheet named 'Pivot – Region':
• Rows: Region | Columns: Category
• Values: Sum of Net Revenue (formatted as $#,##0)
• Add a Grand Total row and column
• Apply a PivotTable style (Medium 9 or similar)</t>
  </si>
  <si>
    <t>PivotTable, Grouping, Formatting</t>
  </si>
  <si>
    <t>PivotTable — Monthly Trend</t>
  </si>
  <si>
    <t>Insert a second PivotTable on a sheet named 'Pivot – Monthly':
• Rows: Month (Jan–Dec in order)
• Values: Sum of Revenue, Sum of Profit, Average Profit Margin %
• Add a calculated field: 'Avg Order Value' = Revenue / 300
(Hint: sort months manually or use a helper column with month numbers)</t>
  </si>
  <si>
    <t>PivotTable, Calculated Field, Sorting</t>
  </si>
  <si>
    <t>Chart — Bar Chart</t>
  </si>
  <si>
    <t>From your Region PivotTable, create a Clustered Bar Chart:
• Title: 'Net Revenue by Region &amp; Category'
• Add data labels
• Use a professional colour scheme (match the region colours)
• Place the chart on the 'Pivot – Region' sheet</t>
  </si>
  <si>
    <t>Bar Chart, Chart Formatting</t>
  </si>
  <si>
    <t>Chart — Line Chart</t>
  </si>
  <si>
    <t>From your Monthly PivotTable, create a Line Chart with two series:
• Revenue (primary axis, left)
• Profit Margin % (secondary axis, right)
• Title: '2023 Monthly Revenue &amp; Profit Margin'
• Add axis titles
• Place on 'Pivot – Monthly' sheet</t>
  </si>
  <si>
    <t>Line Chart, Dual Axis, Chart Formatting</t>
  </si>
  <si>
    <t>Dashboard KPI Tiles</t>
  </si>
  <si>
    <t>In the 'Your Work' sheet, build 4 KPI tiles (use merged cells + formulas):
① Total Revenue  ② Total Profit  ③ Avg Profit Margin %  ④ Best-Performing Region (use INDEX/MATCH on pivot data)
Style each tile with a coloured background and large bold number</t>
  </si>
  <si>
    <t>INDEX/MATCH, Design, Cell Formatting</t>
  </si>
  <si>
    <t>Slicer &amp; Final Polish</t>
  </si>
  <si>
    <t>Add Slicers to both PivotTables (Region and Category slicers).
Connect the Category slicer to BOTH PivotTables simultaneously.
Finally:
• Add a sheet named '📊 Dashboard' that summarises your KPI tiles and both charts on one screen
• Name the workbook tab colours (right-click → Tab Color)</t>
  </si>
  <si>
    <t>Slicers, Slicer Connections, Dashboard Layout</t>
  </si>
  <si>
    <t>20 pts</t>
  </si>
  <si>
    <t>TOTAL POINTS</t>
  </si>
  <si>
    <t>130 pts</t>
  </si>
  <si>
    <t>📊  Scoring Guide</t>
  </si>
  <si>
    <t>Score</t>
  </si>
  <si>
    <t>Grade</t>
  </si>
  <si>
    <t>What it means</t>
  </si>
  <si>
    <t>117–130</t>
  </si>
  <si>
    <t>90%+</t>
  </si>
  <si>
    <t>⭐⭐⭐ Excel Expert — you're ready for analyst-level work</t>
  </si>
  <si>
    <t>91–116</t>
  </si>
  <si>
    <t>70–89%</t>
  </si>
  <si>
    <t>⭐⭐ Proficient — solid intermediate skills, a few gaps to close</t>
  </si>
  <si>
    <t>65–90</t>
  </si>
  <si>
    <t>50–69%</t>
  </si>
  <si>
    <t>⭐ Developing — good foundation, revisit PivotTables and charts</t>
  </si>
  <si>
    <t>&lt; 65</t>
  </si>
  <si>
    <t>&lt; 50%</t>
  </si>
  <si>
    <t>📚 Keep Practising — focus on Tasks 3–6 first</t>
  </si>
  <si>
    <t>✏️  Your Work — Complete your formulas and analyses here</t>
  </si>
  <si>
    <t>📖  Data Dictionary — Superstore Sales Dataset</t>
  </si>
  <si>
    <t>Column</t>
  </si>
  <si>
    <t>Data Type</t>
  </si>
  <si>
    <t>Description</t>
  </si>
  <si>
    <t>Example</t>
  </si>
  <si>
    <t>Text</t>
  </si>
  <si>
    <t>Unique identifier for each order</t>
  </si>
  <si>
    <t>Order date (DD-MMM-YYYY after formatting)</t>
  </si>
  <si>
    <t>15-Mar-2023</t>
  </si>
  <si>
    <t>Abbreviated month name</t>
  </si>
  <si>
    <t>Fiscal quarter of the order</t>
  </si>
  <si>
    <t>Sales region (North/South/East/West)</t>
  </si>
  <si>
    <t>Product category (5 categories)</t>
  </si>
  <si>
    <t>Product name</t>
  </si>
  <si>
    <t>Name of the sales representative</t>
  </si>
  <si>
    <t>Currency</t>
  </si>
  <si>
    <t>Price per single unit ($)</t>
  </si>
  <si>
    <t>$234.50</t>
  </si>
  <si>
    <t>Number</t>
  </si>
  <si>
    <t>Quantity of units in the order</t>
  </si>
  <si>
    <t>12</t>
  </si>
  <si>
    <t>Gross revenue = Unit Price × Units Sold</t>
  </si>
  <si>
    <t>$2,814.00</t>
  </si>
  <si>
    <t>Percentage</t>
  </si>
  <si>
    <t>Discount applied (0%, 5%, 10%, 15%, 20%)</t>
  </si>
  <si>
    <t>10%</t>
  </si>
  <si>
    <t>Revenue after discount</t>
  </si>
  <si>
    <t>$2,532.60</t>
  </si>
  <si>
    <t>Cost of goods for the order</t>
  </si>
  <si>
    <t>$1,407.00</t>
  </si>
  <si>
    <t>Net Revenue minus Cost</t>
  </si>
  <si>
    <t>$1,125.60</t>
  </si>
  <si>
    <t>Profit ÷ Net Revenue × 100</t>
  </si>
  <si>
    <t>44.5%</t>
  </si>
  <si>
    <t>On the Raw Data sheet:
• Format the 'Date' column as DD-MMM-YYYY
• Format Revenue, Net Revenue, Cost, Profit as currency ($)
• Apply conditional formatting: colour Profit Margin % red if &lt;40%, green if ≥40%
• Bold the header row and freeze it</t>
  </si>
  <si>
    <t>ok</t>
  </si>
  <si>
    <t>Row Labels</t>
  </si>
  <si>
    <t>Grand Total</t>
  </si>
  <si>
    <t>Column Labels</t>
  </si>
  <si>
    <t>Sum of Net Revenue</t>
  </si>
  <si>
    <t>Sum of Revenue</t>
  </si>
  <si>
    <t>Average of Profit Margin %</t>
  </si>
  <si>
    <t>(All)</t>
  </si>
  <si>
    <t xml:space="preserve"> Formula Corner</t>
  </si>
  <si>
    <t>KPI Dashboard Tiles</t>
  </si>
  <si>
    <t xml:space="preserve">Order ID Input </t>
  </si>
  <si>
    <t xml:space="preserve">Electronics Revenue </t>
  </si>
  <si>
    <t>Orders with Discount &gt; 10%</t>
  </si>
  <si>
    <t xml:space="preserve">Highest Single-Order Revenue </t>
  </si>
  <si>
    <t xml:space="preserve">Average Profit Margin % </t>
  </si>
  <si>
    <t>Total Revenue</t>
  </si>
  <si>
    <t>SUPERSTORE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</si>
</sst>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409]d\-mmm;@"/>
    <numFmt numFmtId="166" formatCode="dd\-mmm\-yyyy"/>
    <numFmt numFmtId="167" formatCode="&quot;$&quot;#,##0.00"/>
  </numFmts>
  <fonts count="26" x14ac:knownFonts="1">
    <font>
      <sz val="11"/>
      <color theme="1"/>
      <name val="Calibri"/>
      <family val="2"/>
      <charset val="1"/>
    </font>
    <font>
      <b/>
      <sz val="10"/>
      <color rgb="FFFFFFFF"/>
      <name val="Arial"/>
      <charset val="1"/>
    </font>
    <font>
      <sz val="10"/>
      <name val="Arial"/>
      <charset val="1"/>
    </font>
    <font>
      <b/>
      <sz val="16"/>
      <color rgb="FFFFFFFF"/>
      <name val="Arial"/>
      <charset val="1"/>
    </font>
    <font>
      <i/>
      <sz val="11"/>
      <color rgb="FF1F3864"/>
      <name val="Arial"/>
      <charset val="1"/>
    </font>
    <font>
      <b/>
      <sz val="11"/>
      <color rgb="FFFFFFFF"/>
      <name val="Arial"/>
      <charset val="1"/>
    </font>
    <font>
      <b/>
      <sz val="12"/>
      <color rgb="FFFFFFFF"/>
      <name val="Arial"/>
      <charset val="1"/>
    </font>
    <font>
      <b/>
      <sz val="11"/>
      <color rgb="FF1F3864"/>
      <name val="Arial"/>
      <charset val="1"/>
    </font>
    <font>
      <i/>
      <sz val="10"/>
      <color rgb="FF444444"/>
      <name val="Arial"/>
      <charset val="1"/>
    </font>
    <font>
      <b/>
      <sz val="11"/>
      <color rgb="FFC00000"/>
      <name val="Arial"/>
      <charset val="1"/>
    </font>
    <font>
      <b/>
      <sz val="13"/>
      <color rgb="FFFFFFFF"/>
      <name val="Arial"/>
      <charset val="1"/>
    </font>
    <font>
      <b/>
      <sz val="14"/>
      <color rgb="FFFFFFFF"/>
      <name val="Arial"/>
      <charset val="1"/>
    </font>
    <font>
      <i/>
      <sz val="10"/>
      <color rgb="FF888888"/>
      <name val="Arial"/>
      <charset val="1"/>
    </font>
    <font>
      <b/>
      <sz val="10"/>
      <name val="Arial"/>
      <charset val="1"/>
    </font>
    <font>
      <b/>
      <sz val="10"/>
      <color rgb="FF1F3864"/>
      <name val="Arial"/>
      <charset val="1"/>
    </font>
    <font>
      <i/>
      <sz val="10"/>
      <color rgb="FF1F3864"/>
      <name val="Arial"/>
      <charset val="1"/>
    </font>
    <font>
      <sz val="10"/>
      <name val="Arial"/>
      <family val="2"/>
    </font>
    <font>
      <b/>
      <sz val="10"/>
      <color rgb="FFFFFFFF"/>
      <name val="Arial"/>
      <family val="2"/>
    </font>
    <font>
      <b/>
      <sz val="10"/>
      <color rgb="FF888888"/>
      <name val="Arial"/>
      <family val="2"/>
    </font>
    <font>
      <b/>
      <sz val="11"/>
      <color theme="0"/>
      <name val="Calibri"/>
      <family val="2"/>
      <charset val="1"/>
    </font>
    <font>
      <b/>
      <sz val="11"/>
      <color theme="1"/>
      <name val="Calibri"/>
      <family val="2"/>
      <charset val="1"/>
    </font>
    <font>
      <b/>
      <sz val="12"/>
      <color rgb="FFFFFFFF"/>
      <name val="Arial"/>
      <family val="2"/>
    </font>
    <font>
      <b/>
      <sz val="10"/>
      <name val="Arial"/>
      <family val="2"/>
    </font>
    <font>
      <b/>
      <sz val="13"/>
      <color rgb="FFFFFFFF"/>
      <name val="Arial"/>
      <family val="2"/>
    </font>
    <font>
      <b/>
      <sz val="20"/>
      <color theme="1"/>
      <name val="Calibri"/>
      <family val="2"/>
    </font>
    <font>
      <sz val="13"/>
      <color theme="1"/>
      <name val="Calibri"/>
      <family val="2"/>
      <charset val="1"/>
    </font>
  </fonts>
  <fills count="14">
    <fill>
      <patternFill patternType="none"/>
    </fill>
    <fill>
      <patternFill patternType="gray125"/>
    </fill>
    <fill>
      <patternFill patternType="solid">
        <fgColor rgb="FF1F3864"/>
        <bgColor rgb="FF444444"/>
      </patternFill>
    </fill>
    <fill>
      <patternFill patternType="solid">
        <fgColor rgb="FFFFFFFF"/>
        <bgColor rgb="FFF2F2F2"/>
      </patternFill>
    </fill>
    <fill>
      <patternFill patternType="solid">
        <fgColor rgb="FFF2F2F2"/>
        <bgColor rgb="FFE2EFDA"/>
      </patternFill>
    </fill>
    <fill>
      <patternFill patternType="solid">
        <fgColor rgb="FFDDEEFF"/>
        <bgColor rgb="FFE2EFDA"/>
      </patternFill>
    </fill>
    <fill>
      <patternFill patternType="solid">
        <fgColor rgb="FF2F5496"/>
        <bgColor rgb="FF1F3864"/>
      </patternFill>
    </fill>
    <fill>
      <patternFill patternType="solid">
        <fgColor rgb="FFE2EFDA"/>
        <bgColor rgb="FFF2F2F2"/>
      </patternFill>
    </fill>
    <fill>
      <patternFill patternType="solid">
        <fgColor rgb="FFFCE4D6"/>
        <bgColor rgb="FFF2F2F2"/>
      </patternFill>
    </fill>
    <fill>
      <patternFill patternType="solid">
        <fgColor rgb="FF375623"/>
        <bgColor rgb="FF444444"/>
      </patternFill>
    </fill>
    <fill>
      <patternFill patternType="solid">
        <fgColor rgb="FF7B2D8B"/>
        <bgColor rgb="FF993366"/>
      </patternFill>
    </fill>
    <fill>
      <patternFill patternType="solid">
        <fgColor rgb="FF8B3A1A"/>
        <bgColor rgb="FF993366"/>
      </patternFill>
    </fill>
    <fill>
      <patternFill patternType="solid">
        <fgColor theme="5"/>
        <bgColor theme="5"/>
      </patternFill>
    </fill>
    <fill>
      <patternFill patternType="solid">
        <fgColor theme="4" tint="0.59999389629810485"/>
        <bgColor indexed="64"/>
      </patternFill>
    </fill>
  </fills>
  <borders count="8">
    <border>
      <left/>
      <right/>
      <top/>
      <bottom/>
      <diagonal/>
    </border>
    <border>
      <left style="thin">
        <color rgb="FFAAAAAA"/>
      </left>
      <right style="thin">
        <color rgb="FFAAAAAA"/>
      </right>
      <top style="thin">
        <color rgb="FFAAAAAA"/>
      </top>
      <bottom style="thin">
        <color rgb="FFAAAAAA"/>
      </bottom>
      <diagonal/>
    </border>
    <border>
      <left style="thin">
        <color rgb="FFAAAAAA"/>
      </left>
      <right/>
      <top style="thin">
        <color rgb="FFAAAAAA"/>
      </top>
      <bottom style="thin">
        <color rgb="FFAAAAAA"/>
      </bottom>
      <diagonal/>
    </border>
    <border>
      <left style="medium">
        <color rgb="FF2F5496"/>
      </left>
      <right style="thin">
        <color rgb="FFAAAAAA"/>
      </right>
      <top style="thin">
        <color rgb="FFAAAAAA"/>
      </top>
      <bottom style="thin">
        <color rgb="FFAAAAAA"/>
      </bottom>
      <diagonal/>
    </border>
    <border>
      <left style="medium">
        <color rgb="FFFFFFFF"/>
      </left>
      <right/>
      <top style="medium">
        <color rgb="FFFFFFFF"/>
      </top>
      <bottom/>
      <diagonal/>
    </border>
    <border>
      <left/>
      <right/>
      <top style="medium">
        <color theme="5" tint="-0.249977111117893"/>
      </top>
      <bottom/>
      <diagonal/>
    </border>
    <border>
      <left/>
      <right/>
      <top style="thin">
        <color theme="5" tint="-0.249977111117893"/>
      </top>
      <bottom style="medium">
        <color theme="5" tint="-0.249977111117893"/>
      </bottom>
      <diagonal/>
    </border>
    <border>
      <left/>
      <right/>
      <top style="medium">
        <color rgb="FFFFFFFF"/>
      </top>
      <bottom/>
      <diagonal/>
    </border>
  </borders>
  <cellStyleXfs count="1">
    <xf numFmtId="0" fontId="0" fillId="0" borderId="0"/>
  </cellStyleXfs>
  <cellXfs count="81">
    <xf numFmtId="0" fontId="0" fillId="0" borderId="0" xfId="0"/>
    <xf numFmtId="0" fontId="2" fillId="3" borderId="1" xfId="0" applyFont="1" applyFill="1" applyBorder="1" applyAlignment="1">
      <alignment horizontal="center" vertical="center"/>
    </xf>
    <xf numFmtId="3" fontId="2" fillId="3" borderId="1" xfId="0" applyNumberFormat="1" applyFont="1" applyFill="1" applyBorder="1" applyAlignment="1">
      <alignment horizontal="right" vertical="center"/>
    </xf>
    <xf numFmtId="9" fontId="2" fillId="3" borderId="1" xfId="0" applyNumberFormat="1" applyFont="1" applyFill="1" applyBorder="1" applyAlignment="1">
      <alignment horizontal="right" vertical="center"/>
    </xf>
    <xf numFmtId="164" fontId="2" fillId="3" borderId="1" xfId="0" applyNumberFormat="1" applyFont="1" applyFill="1" applyBorder="1" applyAlignment="1">
      <alignment horizontal="right" vertical="center"/>
    </xf>
    <xf numFmtId="0" fontId="2" fillId="4" borderId="1" xfId="0" applyFont="1" applyFill="1" applyBorder="1" applyAlignment="1">
      <alignment horizontal="center" vertical="center"/>
    </xf>
    <xf numFmtId="3" fontId="2" fillId="4" borderId="1" xfId="0" applyNumberFormat="1" applyFont="1" applyFill="1" applyBorder="1" applyAlignment="1">
      <alignment horizontal="right" vertical="center"/>
    </xf>
    <xf numFmtId="9" fontId="2" fillId="4" borderId="1" xfId="0" applyNumberFormat="1" applyFont="1" applyFill="1" applyBorder="1" applyAlignment="1">
      <alignment horizontal="right" vertical="center"/>
    </xf>
    <xf numFmtId="164" fontId="2" fillId="4" borderId="1" xfId="0" applyNumberFormat="1" applyFont="1" applyFill="1" applyBorder="1" applyAlignment="1">
      <alignment horizontal="right" vertical="center"/>
    </xf>
    <xf numFmtId="0" fontId="5" fillId="6" borderId="1" xfId="0" applyFont="1" applyFill="1" applyBorder="1" applyAlignment="1">
      <alignment horizontal="center" vertical="center"/>
    </xf>
    <xf numFmtId="0" fontId="6" fillId="6" borderId="1" xfId="0" applyFont="1" applyFill="1" applyBorder="1" applyAlignment="1">
      <alignment horizontal="center" vertical="center"/>
    </xf>
    <xf numFmtId="0" fontId="7" fillId="3"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8" fillId="3" borderId="1" xfId="0" applyFont="1" applyFill="1" applyBorder="1" applyAlignment="1">
      <alignment horizontal="left" vertical="top" wrapText="1"/>
    </xf>
    <xf numFmtId="0" fontId="9" fillId="3" borderId="1" xfId="0" applyFont="1" applyFill="1" applyBorder="1" applyAlignment="1">
      <alignment horizontal="center" vertical="center"/>
    </xf>
    <xf numFmtId="0" fontId="7" fillId="4"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8" fillId="4" borderId="1" xfId="0" applyFont="1" applyFill="1" applyBorder="1" applyAlignment="1">
      <alignment horizontal="left" vertical="top" wrapText="1"/>
    </xf>
    <xf numFmtId="0" fontId="9" fillId="4" borderId="1" xfId="0" applyFont="1" applyFill="1" applyBorder="1" applyAlignment="1">
      <alignment horizontal="center" vertical="center"/>
    </xf>
    <xf numFmtId="0" fontId="6" fillId="2" borderId="1" xfId="0" applyFont="1" applyFill="1" applyBorder="1" applyAlignment="1">
      <alignment horizontal="center" vertical="center"/>
    </xf>
    <xf numFmtId="0" fontId="1" fillId="6" borderId="1" xfId="0" applyFont="1" applyFill="1" applyBorder="1" applyAlignment="1">
      <alignment horizontal="center" vertical="center"/>
    </xf>
    <xf numFmtId="0" fontId="2" fillId="7" borderId="1" xfId="0" applyFont="1" applyFill="1" applyBorder="1" applyAlignment="1">
      <alignment horizontal="center" vertical="center"/>
    </xf>
    <xf numFmtId="0" fontId="2" fillId="4" borderId="1" xfId="0" applyFont="1" applyFill="1" applyBorder="1" applyAlignment="1">
      <alignment horizontal="left" vertical="center"/>
    </xf>
    <xf numFmtId="0" fontId="2" fillId="8" borderId="1" xfId="0" applyFont="1" applyFill="1" applyBorder="1" applyAlignment="1">
      <alignment horizontal="center" vertical="center"/>
    </xf>
    <xf numFmtId="0" fontId="12" fillId="5" borderId="3" xfId="0" applyFont="1" applyFill="1" applyBorder="1" applyAlignment="1">
      <alignment horizontal="left" vertical="center"/>
    </xf>
    <xf numFmtId="0" fontId="14" fillId="5" borderId="3" xfId="0" applyFont="1" applyFill="1" applyBorder="1" applyAlignment="1">
      <alignment horizontal="left" vertical="center"/>
    </xf>
    <xf numFmtId="0" fontId="13" fillId="3" borderId="1" xfId="0" applyFont="1" applyFill="1" applyBorder="1" applyAlignment="1">
      <alignment horizontal="center" vertical="center"/>
    </xf>
    <xf numFmtId="0" fontId="2" fillId="3" borderId="1" xfId="0" applyFont="1" applyFill="1" applyBorder="1" applyAlignment="1">
      <alignment horizontal="left" vertical="center"/>
    </xf>
    <xf numFmtId="0" fontId="13" fillId="4" borderId="1" xfId="0" applyFont="1" applyFill="1" applyBorder="1" applyAlignment="1">
      <alignment horizontal="center" vertical="center"/>
    </xf>
    <xf numFmtId="0" fontId="16" fillId="4" borderId="1" xfId="0" applyFont="1" applyFill="1" applyBorder="1" applyAlignment="1">
      <alignment horizontal="center" vertical="center"/>
    </xf>
    <xf numFmtId="166" fontId="2" fillId="3" borderId="1" xfId="0" applyNumberFormat="1" applyFont="1" applyFill="1" applyBorder="1" applyAlignment="1">
      <alignment horizontal="right" vertical="center"/>
    </xf>
    <xf numFmtId="166" fontId="2" fillId="4" borderId="1" xfId="0" applyNumberFormat="1" applyFont="1" applyFill="1" applyBorder="1" applyAlignment="1">
      <alignment horizontal="right" vertical="center"/>
    </xf>
    <xf numFmtId="167" fontId="2" fillId="4" borderId="1" xfId="0" applyNumberFormat="1" applyFont="1" applyFill="1" applyBorder="1" applyAlignment="1">
      <alignment horizontal="right" vertical="center"/>
    </xf>
    <xf numFmtId="167" fontId="2" fillId="3" borderId="1" xfId="0" applyNumberFormat="1" applyFont="1" applyFill="1" applyBorder="1" applyAlignment="1">
      <alignment horizontal="right" vertical="center"/>
    </xf>
    <xf numFmtId="0" fontId="16" fillId="3" borderId="1" xfId="0" applyFont="1" applyFill="1" applyBorder="1" applyAlignment="1">
      <alignment horizontal="left" vertical="top" wrapText="1"/>
    </xf>
    <xf numFmtId="0" fontId="17" fillId="2" borderId="1" xfId="0" applyFont="1" applyFill="1" applyBorder="1" applyAlignment="1">
      <alignment horizontal="center" vertical="center"/>
    </xf>
    <xf numFmtId="165" fontId="17" fillId="2" borderId="1" xfId="0" applyNumberFormat="1" applyFont="1" applyFill="1" applyBorder="1" applyAlignment="1">
      <alignment horizontal="right" vertical="center"/>
    </xf>
    <xf numFmtId="167" fontId="17" fillId="2" borderId="1" xfId="0" applyNumberFormat="1" applyFont="1" applyFill="1" applyBorder="1" applyAlignment="1">
      <alignment horizontal="center" vertical="center"/>
    </xf>
    <xf numFmtId="0" fontId="18" fillId="5" borderId="3" xfId="0" applyFont="1" applyFill="1" applyBorder="1" applyAlignment="1">
      <alignment horizontal="left" vertical="center"/>
    </xf>
    <xf numFmtId="0" fontId="16" fillId="4" borderId="1" xfId="0" applyFont="1" applyFill="1" applyBorder="1" applyAlignment="1">
      <alignment horizontal="left" vertical="center"/>
    </xf>
    <xf numFmtId="0" fontId="0" fillId="0" borderId="0" xfId="0" pivotButton="1"/>
    <xf numFmtId="0" fontId="0" fillId="0" borderId="0" xfId="0" applyAlignment="1">
      <alignment horizontal="left"/>
    </xf>
    <xf numFmtId="3" fontId="0" fillId="0" borderId="0" xfId="0" applyNumberFormat="1"/>
    <xf numFmtId="0" fontId="16" fillId="4" borderId="1" xfId="0" applyFont="1" applyFill="1" applyBorder="1" applyAlignment="1">
      <alignment horizontal="left" vertical="top" wrapText="1"/>
    </xf>
    <xf numFmtId="0" fontId="2" fillId="7" borderId="1" xfId="0" applyFont="1" applyFill="1" applyBorder="1" applyAlignment="1">
      <alignment horizontal="left" vertical="center"/>
    </xf>
    <xf numFmtId="0" fontId="2" fillId="4" borderId="1" xfId="0" applyFont="1" applyFill="1" applyBorder="1" applyAlignment="1">
      <alignment horizontal="left" vertical="center"/>
    </xf>
    <xf numFmtId="0" fontId="2" fillId="8" borderId="1" xfId="0" applyFont="1" applyFill="1" applyBorder="1" applyAlignment="1">
      <alignment horizontal="left" vertical="center"/>
    </xf>
    <xf numFmtId="0" fontId="3" fillId="2" borderId="0" xfId="0" applyFont="1" applyFill="1" applyBorder="1" applyAlignment="1">
      <alignment horizontal="center" vertical="center"/>
    </xf>
    <xf numFmtId="0" fontId="4" fillId="5" borderId="0" xfId="0" applyFont="1" applyFill="1" applyBorder="1" applyAlignment="1">
      <alignment horizontal="center" vertical="center"/>
    </xf>
    <xf numFmtId="0" fontId="6" fillId="2" borderId="2" xfId="0" applyFont="1" applyFill="1" applyBorder="1" applyAlignment="1">
      <alignment horizontal="right" vertical="center"/>
    </xf>
    <xf numFmtId="0" fontId="10" fillId="6" borderId="0" xfId="0" applyFont="1" applyFill="1" applyBorder="1" applyAlignment="1">
      <alignment horizontal="center" vertical="center"/>
    </xf>
    <xf numFmtId="0" fontId="5" fillId="6" borderId="2" xfId="0" applyFont="1" applyFill="1" applyBorder="1" applyAlignment="1">
      <alignment horizontal="center" vertical="center"/>
    </xf>
    <xf numFmtId="0" fontId="10" fillId="10" borderId="4" xfId="0" applyFont="1" applyFill="1" applyBorder="1" applyAlignment="1">
      <alignment horizontal="center" vertical="center" wrapText="1"/>
    </xf>
    <xf numFmtId="0" fontId="10" fillId="11" borderId="4" xfId="0" applyFont="1" applyFill="1" applyBorder="1" applyAlignment="1">
      <alignment horizontal="center" vertical="center" wrapText="1"/>
    </xf>
    <xf numFmtId="0" fontId="15" fillId="5" borderId="2" xfId="0" applyFont="1" applyFill="1" applyBorder="1" applyAlignment="1">
      <alignment horizontal="left" vertical="center" wrapText="1"/>
    </xf>
    <xf numFmtId="0" fontId="0" fillId="0" borderId="0" xfId="0" applyBorder="1"/>
    <xf numFmtId="0" fontId="6" fillId="6" borderId="1" xfId="0" applyFont="1" applyFill="1" applyBorder="1" applyAlignment="1">
      <alignment horizontal="left" vertical="center"/>
    </xf>
    <xf numFmtId="0" fontId="11" fillId="2" borderId="0" xfId="0" applyFont="1" applyFill="1" applyBorder="1" applyAlignment="1">
      <alignment horizontal="center" vertical="center"/>
    </xf>
    <xf numFmtId="0" fontId="0" fillId="0" borderId="0" xfId="0" applyFont="1" applyAlignment="1">
      <alignment horizontal="left"/>
    </xf>
    <xf numFmtId="10" fontId="0" fillId="0" borderId="0" xfId="0" applyNumberFormat="1"/>
    <xf numFmtId="4" fontId="0" fillId="0" borderId="0" xfId="0" applyNumberFormat="1"/>
    <xf numFmtId="167" fontId="0" fillId="0" borderId="0" xfId="0" applyNumberFormat="1"/>
    <xf numFmtId="0" fontId="19" fillId="12" borderId="5" xfId="0" applyFont="1" applyFill="1" applyBorder="1"/>
    <xf numFmtId="4" fontId="0" fillId="0" borderId="0" xfId="0" applyNumberFormat="1" applyFont="1"/>
    <xf numFmtId="10" fontId="0" fillId="0" borderId="0" xfId="0" applyNumberFormat="1" applyFont="1"/>
    <xf numFmtId="0" fontId="20" fillId="0" borderId="6" xfId="0" applyFont="1" applyBorder="1" applyAlignment="1">
      <alignment horizontal="left"/>
    </xf>
    <xf numFmtId="4" fontId="20" fillId="0" borderId="6" xfId="0" applyNumberFormat="1" applyFont="1" applyBorder="1"/>
    <xf numFmtId="10" fontId="20" fillId="0" borderId="6" xfId="0" applyNumberFormat="1" applyFont="1" applyBorder="1"/>
    <xf numFmtId="4" fontId="10" fillId="9" borderId="4" xfId="0" applyNumberFormat="1" applyFont="1" applyFill="1" applyBorder="1" applyAlignment="1">
      <alignment horizontal="center" vertical="center" wrapText="1"/>
    </xf>
    <xf numFmtId="0" fontId="21" fillId="6" borderId="1" xfId="0" applyFont="1" applyFill="1" applyBorder="1" applyAlignment="1">
      <alignment horizontal="left" vertical="center"/>
    </xf>
    <xf numFmtId="0" fontId="22" fillId="4" borderId="1" xfId="0" applyFont="1" applyFill="1" applyBorder="1" applyAlignment="1">
      <alignment horizontal="left" vertical="center"/>
    </xf>
    <xf numFmtId="0" fontId="23" fillId="2" borderId="4" xfId="0" applyFont="1" applyFill="1" applyBorder="1" applyAlignment="1">
      <alignment horizontal="center" vertical="center" wrapText="1"/>
    </xf>
    <xf numFmtId="0" fontId="24" fillId="13" borderId="0" xfId="0" applyFont="1" applyFill="1" applyAlignment="1">
      <alignment horizontal="center" vertical="center"/>
    </xf>
    <xf numFmtId="0" fontId="25" fillId="0" borderId="0" xfId="0" applyFont="1"/>
    <xf numFmtId="0" fontId="23" fillId="2" borderId="0" xfId="0" applyFont="1" applyFill="1" applyBorder="1" applyAlignment="1">
      <alignment horizontal="center" vertical="center" wrapText="1"/>
    </xf>
    <xf numFmtId="0" fontId="23" fillId="2" borderId="7" xfId="0" applyFont="1" applyFill="1" applyBorder="1" applyAlignment="1">
      <alignment horizontal="center" vertical="center" wrapText="1"/>
    </xf>
    <xf numFmtId="4" fontId="23" fillId="9" borderId="7" xfId="0" applyNumberFormat="1" applyFont="1" applyFill="1" applyBorder="1" applyAlignment="1">
      <alignment horizontal="center" vertical="center" wrapText="1"/>
    </xf>
    <xf numFmtId="0" fontId="23" fillId="10" borderId="7" xfId="0" applyFont="1" applyFill="1" applyBorder="1" applyAlignment="1">
      <alignment horizontal="center" vertical="center" wrapText="1"/>
    </xf>
    <xf numFmtId="4" fontId="23" fillId="9" borderId="0" xfId="0" applyNumberFormat="1" applyFont="1" applyFill="1" applyBorder="1" applyAlignment="1">
      <alignment horizontal="center" vertical="center" wrapText="1"/>
    </xf>
    <xf numFmtId="0" fontId="23" fillId="10" borderId="0" xfId="0" applyFont="1" applyFill="1" applyBorder="1" applyAlignment="1">
      <alignment horizontal="center" vertical="center" wrapText="1"/>
    </xf>
    <xf numFmtId="0" fontId="23" fillId="11" borderId="0" xfId="0" applyFont="1" applyFill="1" applyBorder="1" applyAlignment="1">
      <alignment horizontal="center" vertical="center" wrapText="1"/>
    </xf>
  </cellXfs>
  <cellStyles count="1">
    <cellStyle name="Normal" xfId="0" builtinId="0"/>
  </cellStyles>
  <dxfs count="4">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9AA71"/>
      <rgbColor rgb="FF888888"/>
      <rgbColor rgb="FF9999FF"/>
      <rgbColor rgb="FF7B2D8B"/>
      <rgbColor rgb="FFF2F2F2"/>
      <rgbColor rgb="FFDDEE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CE4D6"/>
      <rgbColor rgb="FF3366FF"/>
      <rgbColor rgb="FF33CCCC"/>
      <rgbColor rgb="FF99CC00"/>
      <rgbColor rgb="FFFFCC00"/>
      <rgbColor rgb="FFFF9900"/>
      <rgbColor rgb="FFFF6600"/>
      <rgbColor rgb="FF666699"/>
      <rgbColor rgb="FFAAAAAA"/>
      <rgbColor rgb="FF1F3864"/>
      <rgbColor rgb="FF339966"/>
      <rgbColor rgb="FF003300"/>
      <rgbColor rgb="FF375623"/>
      <rgbColor rgb="FF8B3A1A"/>
      <rgbColor rgb="FF993366"/>
      <rgbColor rgb="FF2F5496"/>
      <rgbColor rgb="FF44444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[superstore_sales_project.xlsx]Pivot-Region!PivotTable6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Net</a:t>
            </a:r>
            <a:r>
              <a:rPr lang="en-US" b="1" baseline="0"/>
              <a:t> Revenue by Region and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'Pivot-Region'!$B$1:$B$2</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'Pivot-Region'!$B$3:$B$7</c:f>
              <c:numCache>
                <c:formatCode>#,##0</c:formatCode>
                <c:ptCount val="4"/>
                <c:pt idx="0">
                  <c:v>14642.930285000002</c:v>
                </c:pt>
                <c:pt idx="1">
                  <c:v>11952.767959999999</c:v>
                </c:pt>
                <c:pt idx="2">
                  <c:v>13036.210530000004</c:v>
                </c:pt>
                <c:pt idx="3">
                  <c:v>14215.538854999999</c:v>
                </c:pt>
              </c:numCache>
            </c:numRef>
          </c:val>
          <c:extLst>
            <c:ext xmlns:c16="http://schemas.microsoft.com/office/drawing/2014/chart" uri="{C3380CC4-5D6E-409C-BE32-E72D297353CC}">
              <c16:uniqueId val="{00000000-735C-453E-9D17-727B7CE65CE9}"/>
            </c:ext>
          </c:extLst>
        </c:ser>
        <c:ser>
          <c:idx val="1"/>
          <c:order val="1"/>
          <c:tx>
            <c:strRef>
              <c:f>'Pivot-Region'!$C$1:$C$2</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'Pivot-Region'!$C$3:$C$7</c:f>
              <c:numCache>
                <c:formatCode>#,##0</c:formatCode>
                <c:ptCount val="4"/>
                <c:pt idx="0">
                  <c:v>28668.696609999999</c:v>
                </c:pt>
                <c:pt idx="1">
                  <c:v>29454.817150000003</c:v>
                </c:pt>
                <c:pt idx="2">
                  <c:v>10344.191774999999</c:v>
                </c:pt>
                <c:pt idx="3">
                  <c:v>15139.796124999999</c:v>
                </c:pt>
              </c:numCache>
            </c:numRef>
          </c:val>
          <c:extLst>
            <c:ext xmlns:c16="http://schemas.microsoft.com/office/drawing/2014/chart" uri="{C3380CC4-5D6E-409C-BE32-E72D297353CC}">
              <c16:uniqueId val="{00000005-735C-453E-9D17-727B7CE65CE9}"/>
            </c:ext>
          </c:extLst>
        </c:ser>
        <c:ser>
          <c:idx val="2"/>
          <c:order val="2"/>
          <c:tx>
            <c:strRef>
              <c:f>'Pivot-Region'!$D$1:$D$2</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'Pivot-Region'!$D$3:$D$7</c:f>
              <c:numCache>
                <c:formatCode>#,##0</c:formatCode>
                <c:ptCount val="4"/>
                <c:pt idx="0">
                  <c:v>59877.439849999995</c:v>
                </c:pt>
                <c:pt idx="1">
                  <c:v>32974.453800000003</c:v>
                </c:pt>
                <c:pt idx="2">
                  <c:v>39915.169034999999</c:v>
                </c:pt>
                <c:pt idx="3">
                  <c:v>20505.330330000004</c:v>
                </c:pt>
              </c:numCache>
            </c:numRef>
          </c:val>
          <c:extLst>
            <c:ext xmlns:c16="http://schemas.microsoft.com/office/drawing/2014/chart" uri="{C3380CC4-5D6E-409C-BE32-E72D297353CC}">
              <c16:uniqueId val="{00000006-735C-453E-9D17-727B7CE65CE9}"/>
            </c:ext>
          </c:extLst>
        </c:ser>
        <c:ser>
          <c:idx val="3"/>
          <c:order val="3"/>
          <c:tx>
            <c:strRef>
              <c:f>'Pivot-Region'!$E$1:$E$2</c:f>
              <c:strCache>
                <c:ptCount val="1"/>
                <c:pt idx="0">
                  <c:v>Office Supplies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'Pivot-Region'!$E$3:$E$7</c:f>
              <c:numCache>
                <c:formatCode>#,##0</c:formatCode>
                <c:ptCount val="4"/>
                <c:pt idx="0">
                  <c:v>2981.4246699999999</c:v>
                </c:pt>
                <c:pt idx="1">
                  <c:v>3962.2919600000005</c:v>
                </c:pt>
                <c:pt idx="2">
                  <c:v>3557.44956</c:v>
                </c:pt>
                <c:pt idx="3">
                  <c:v>1893.3815100000004</c:v>
                </c:pt>
              </c:numCache>
            </c:numRef>
          </c:val>
          <c:extLst>
            <c:ext xmlns:c16="http://schemas.microsoft.com/office/drawing/2014/chart" uri="{C3380CC4-5D6E-409C-BE32-E72D297353CC}">
              <c16:uniqueId val="{00000007-735C-453E-9D17-727B7CE65CE9}"/>
            </c:ext>
          </c:extLst>
        </c:ser>
        <c:ser>
          <c:idx val="4"/>
          <c:order val="4"/>
          <c:tx>
            <c:strRef>
              <c:f>'Pivot-Region'!$F$1:$F$2</c:f>
              <c:strCache>
                <c:ptCount val="1"/>
                <c:pt idx="0">
                  <c:v>Sports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'Pivot-Region'!$F$3:$F$7</c:f>
              <c:numCache>
                <c:formatCode>#,##0</c:formatCode>
                <c:ptCount val="4"/>
                <c:pt idx="0">
                  <c:v>6372.2162950000011</c:v>
                </c:pt>
                <c:pt idx="1">
                  <c:v>9396.6765250000008</c:v>
                </c:pt>
                <c:pt idx="2">
                  <c:v>5303.2133749999994</c:v>
                </c:pt>
                <c:pt idx="3">
                  <c:v>7898.1283649999996</c:v>
                </c:pt>
              </c:numCache>
            </c:numRef>
          </c:val>
          <c:extLst>
            <c:ext xmlns:c16="http://schemas.microsoft.com/office/drawing/2014/chart" uri="{C3380CC4-5D6E-409C-BE32-E72D297353CC}">
              <c16:uniqueId val="{00000008-735C-453E-9D17-727B7CE65CE9}"/>
            </c:ext>
          </c:extLst>
        </c:ser>
        <c:dLbls>
          <c:dLblPos val="outEnd"/>
          <c:showLegendKey val="0"/>
          <c:showVal val="1"/>
          <c:showCatName val="0"/>
          <c:showSerName val="0"/>
          <c:showPercent val="0"/>
          <c:showBubbleSize val="0"/>
        </c:dLbls>
        <c:gapWidth val="219"/>
        <c:overlap val="-27"/>
        <c:axId val="473110672"/>
        <c:axId val="473106080"/>
      </c:barChart>
      <c:catAx>
        <c:axId val="4731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06080"/>
        <c:crosses val="autoZero"/>
        <c:auto val="1"/>
        <c:lblAlgn val="ctr"/>
        <c:lblOffset val="100"/>
        <c:noMultiLvlLbl val="0"/>
      </c:catAx>
      <c:valAx>
        <c:axId val="473106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[superstore_sales_project.xlsx]Pivot-Monthly!PivotTable1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 Monthly Revenue</a:t>
            </a:r>
            <a:r>
              <a:rPr lang="en-US" baseline="0"/>
              <a:t> &amp; Profit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s>
    <c:plotArea>
      <c:layout/>
      <c:lineChart>
        <c:grouping val="standard"/>
        <c:varyColors val="0"/>
        <c:ser>
          <c:idx val="0"/>
          <c:order val="0"/>
          <c:tx>
            <c:strRef>
              <c:f>'Pivot-Monthly'!$B$5</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'Pivot-Monthly'!$A$6:$A$18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'Pivot-Monthly'!$B$6:$B$18</c:f>
              <c:numCache>
                <c:formatCode>#,##0.00</c:formatCode>
                <c:ptCount val="12"/>
                <c:pt idx="0">
                  <c:v>28908.129999999997</c:v>
                </c:pt>
                <c:pt idx="1">
                  <c:v>26306.090000000004</c:v>
                </c:pt>
                <c:pt idx="2">
                  <c:v>16746.13</c:v>
                </c:pt>
                <c:pt idx="3">
                  <c:v>40373.99</c:v>
                </c:pt>
                <c:pt idx="4">
                  <c:v>26745.140000000007</c:v>
                </c:pt>
                <c:pt idx="5">
                  <c:v>34041.39</c:v>
                </c:pt>
                <c:pt idx="6">
                  <c:v>26481.049999999992</c:v>
                </c:pt>
                <c:pt idx="7">
                  <c:v>17386.370000000003</c:v>
                </c:pt>
                <c:pt idx="8">
                  <c:v>28688.86</c:v>
                </c:pt>
                <c:pt idx="9">
                  <c:v>35307.230000000003</c:v>
                </c:pt>
                <c:pt idx="10">
                  <c:v>12264.2</c:v>
                </c:pt>
                <c:pt idx="11">
                  <c:v>39097.4</c:v>
                </c:pt>
              </c:numCache>
            </c:numRef>
          </c:val>
          <c:smooth val="0"/>
          <c:extLst>
            <c:ext xmlns:c16="http://schemas.microsoft.com/office/drawing/2014/chart" uri="{C3380CC4-5D6E-409C-BE32-E72D297353CC}">
              <c16:uniqueId val="{00000000-2570-41CA-9CA6-8C2E2A6BE40F}"/>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09901152"/>
        <c:axId val="509902792"/>
      </c:lineChart>
      <c:lineChart>
        <c:grouping val="standard"/>
        <c:varyColors val="0"/>
        <c:ser>
          <c:idx val="3"/>
          <c:order val="1"/>
          <c:tx>
            <c:strRef>
              <c:f>'Pivot-Monthly'!$C$5</c:f>
              <c:strCache>
                <c:ptCount val="1"/>
                <c:pt idx="0">
                  <c:v>Average of Profit Margin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'Pivot-Monthly'!$A$6:$A$18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'Pivot-Monthly'!$C$6:$C$18</c:f>
              <c:numCache>
                <c:formatCode>0.00%</c:formatCode>
                <c:ptCount val="12"/>
                <c:pt idx="0">
                  <c:v>0.45097753963424236</c:v>
                </c:pt>
                <c:pt idx="1">
                  <c:v>0.43041392324439726</c:v>
                </c:pt>
                <c:pt idx="2">
                  <c:v>0.42141265325467581</c:v>
                </c:pt>
                <c:pt idx="3">
                  <c:v>0.43997349961975718</c:v>
                </c:pt>
                <c:pt idx="4">
                  <c:v>0.43865976008450414</c:v>
                </c:pt>
                <c:pt idx="5">
                  <c:v>0.42960588030908681</c:v>
                </c:pt>
                <c:pt idx="6">
                  <c:v>0.42605106071770771</c:v>
                </c:pt>
                <c:pt idx="7">
                  <c:v>0.39354115769713971</c:v>
                </c:pt>
                <c:pt idx="8">
                  <c:v>0.42981045343560981</c:v>
                </c:pt>
                <c:pt idx="9">
                  <c:v>0.41682825172594723</c:v>
                </c:pt>
                <c:pt idx="10">
                  <c:v>0.4477146700440981</c:v>
                </c:pt>
                <c:pt idx="11">
                  <c:v>0.39360396628754657</c:v>
                </c:pt>
              </c:numCache>
            </c:numRef>
          </c:val>
          <c:smooth val="0"/>
          <c:extLst>
            <c:ext xmlns:c16="http://schemas.microsoft.com/office/drawing/2014/chart" uri="{C3380CC4-5D6E-409C-BE32-E72D297353CC}">
              <c16:uniqueId val="{00000001-2570-41CA-9CA6-8C2E2A6BE40F}"/>
            </c:ext>
          </c:extLst>
        </c:ser>
        <c:dLbls>
          <c:showLegendKey val="0"/>
          <c:showVal val="0"/>
          <c:showCatName val="0"/>
          <c:showSerName val="0"/>
          <c:showPercent val="0"/>
          <c:showBubbleSize val="0"/>
        </c:dLbls>
        <c:marker val="1"/>
        <c:smooth val="0"/>
        <c:axId val="587440592"/>
        <c:axId val="587437968"/>
      </c:lineChart>
      <c:catAx>
        <c:axId val="50990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2792"/>
        <c:crosses val="autoZero"/>
        <c:auto val="1"/>
        <c:lblAlgn val="ctr"/>
        <c:lblOffset val="100"/>
        <c:noMultiLvlLbl val="0"/>
      </c:catAx>
      <c:valAx>
        <c:axId val="509902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1152"/>
        <c:crosses val="autoZero"/>
        <c:crossBetween val="between"/>
      </c:valAx>
      <c:valAx>
        <c:axId val="5874379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40592"/>
        <c:crosses val="max"/>
        <c:crossBetween val="between"/>
      </c:valAx>
      <c:catAx>
        <c:axId val="587440592"/>
        <c:scaling>
          <c:orientation val="minMax"/>
        </c:scaling>
        <c:delete val="1"/>
        <c:axPos val="b"/>
        <c:numFmt formatCode="General" sourceLinked="1"/>
        <c:majorTickMark val="out"/>
        <c:minorTickMark val="none"/>
        <c:tickLblPos val="nextTo"/>
        <c:crossAx val="587437968"/>
        <c:crosses val="autoZero"/>
        <c:auto val="1"/>
        <c:lblAlgn val="ctr"/>
        <c:lblOffset val="100"/>
        <c:noMultiLvlLbl val="0"/>
      </c:cat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[superstore_sales_project.xlsx]Pivot-Region!PivotTable6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Net</a:t>
            </a:r>
            <a:r>
              <a:rPr lang="en-US" b="1" baseline="0"/>
              <a:t> Revenue by Region and Category</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'Pivot-Region'!$B$1:$B$2</c:f>
              <c:strCache>
                <c:ptCount val="1"/>
                <c:pt idx="0">
                  <c:v>Clothing</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'Pivot-Region'!$B$3:$B$7</c:f>
              <c:numCache>
                <c:formatCode>#,##0</c:formatCode>
                <c:ptCount val="4"/>
                <c:pt idx="0">
                  <c:v>14642.930285000002</c:v>
                </c:pt>
                <c:pt idx="1">
                  <c:v>11952.767959999999</c:v>
                </c:pt>
                <c:pt idx="2">
                  <c:v>13036.210530000004</c:v>
                </c:pt>
                <c:pt idx="3">
                  <c:v>14215.538854999999</c:v>
                </c:pt>
              </c:numCache>
            </c:numRef>
          </c:val>
          <c:extLst>
            <c:ext xmlns:c16="http://schemas.microsoft.com/office/drawing/2014/chart" uri="{C3380CC4-5D6E-409C-BE32-E72D297353CC}">
              <c16:uniqueId val="{00000000-AF4F-4DF9-8D85-8C7E2B329FBA}"/>
            </c:ext>
          </c:extLst>
        </c:ser>
        <c:ser>
          <c:idx val="1"/>
          <c:order val="1"/>
          <c:tx>
            <c:strRef>
              <c:f>'Pivot-Region'!$C$1:$C$2</c:f>
              <c:strCache>
                <c:ptCount val="1"/>
                <c:pt idx="0">
                  <c:v>Electronics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'Pivot-Region'!$C$3:$C$7</c:f>
              <c:numCache>
                <c:formatCode>#,##0</c:formatCode>
                <c:ptCount val="4"/>
                <c:pt idx="0">
                  <c:v>28668.696609999999</c:v>
                </c:pt>
                <c:pt idx="1">
                  <c:v>29454.817150000003</c:v>
                </c:pt>
                <c:pt idx="2">
                  <c:v>10344.191774999999</c:v>
                </c:pt>
                <c:pt idx="3">
                  <c:v>15139.796124999999</c:v>
                </c:pt>
              </c:numCache>
            </c:numRef>
          </c:val>
          <c:extLst>
            <c:ext xmlns:c16="http://schemas.microsoft.com/office/drawing/2014/chart" uri="{C3380CC4-5D6E-409C-BE32-E72D297353CC}">
              <c16:uniqueId val="{00000015-AF4F-4DF9-8D85-8C7E2B329FBA}"/>
            </c:ext>
          </c:extLst>
        </c:ser>
        <c:ser>
          <c:idx val="2"/>
          <c:order val="2"/>
          <c:tx>
            <c:strRef>
              <c:f>'Pivot-Region'!$D$1:$D$2</c:f>
              <c:strCache>
                <c:ptCount val="1"/>
                <c:pt idx="0">
                  <c:v>Furniture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'Pivot-Region'!$D$3:$D$7</c:f>
              <c:numCache>
                <c:formatCode>#,##0</c:formatCode>
                <c:ptCount val="4"/>
                <c:pt idx="0">
                  <c:v>59877.439849999995</c:v>
                </c:pt>
                <c:pt idx="1">
                  <c:v>32974.453800000003</c:v>
                </c:pt>
                <c:pt idx="2">
                  <c:v>39915.169034999999</c:v>
                </c:pt>
                <c:pt idx="3">
                  <c:v>20505.330330000004</c:v>
                </c:pt>
              </c:numCache>
            </c:numRef>
          </c:val>
          <c:extLst>
            <c:ext xmlns:c16="http://schemas.microsoft.com/office/drawing/2014/chart" uri="{C3380CC4-5D6E-409C-BE32-E72D297353CC}">
              <c16:uniqueId val="{00000016-AF4F-4DF9-8D85-8C7E2B329FBA}"/>
            </c:ext>
          </c:extLst>
        </c:ser>
        <c:ser>
          <c:idx val="3"/>
          <c:order val="3"/>
          <c:tx>
            <c:strRef>
              <c:f>'Pivot-Region'!$E$1:$E$2</c:f>
              <c:strCache>
                <c:ptCount val="1"/>
                <c:pt idx="0">
                  <c:v>Office Supplies</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'Pivot-Region'!$E$3:$E$7</c:f>
              <c:numCache>
                <c:formatCode>#,##0</c:formatCode>
                <c:ptCount val="4"/>
                <c:pt idx="0">
                  <c:v>2981.4246699999999</c:v>
                </c:pt>
                <c:pt idx="1">
                  <c:v>3962.2919600000005</c:v>
                </c:pt>
                <c:pt idx="2">
                  <c:v>3557.44956</c:v>
                </c:pt>
                <c:pt idx="3">
                  <c:v>1893.3815100000004</c:v>
                </c:pt>
              </c:numCache>
            </c:numRef>
          </c:val>
          <c:extLst>
            <c:ext xmlns:c16="http://schemas.microsoft.com/office/drawing/2014/chart" uri="{C3380CC4-5D6E-409C-BE32-E72D297353CC}">
              <c16:uniqueId val="{00000017-AF4F-4DF9-8D85-8C7E2B329FBA}"/>
            </c:ext>
          </c:extLst>
        </c:ser>
        <c:ser>
          <c:idx val="4"/>
          <c:order val="4"/>
          <c:tx>
            <c:strRef>
              <c:f>'Pivot-Region'!$F$1:$F$2</c:f>
              <c:strCache>
                <c:ptCount val="1"/>
                <c:pt idx="0">
                  <c:v>Sports</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'Pivot-Region'!$A$3:$A$7</c:f>
              <c:strCache>
                <c:ptCount val="4"/>
                <c:pt idx="0">
                  <c:v>East</c:v>
                </c:pt>
                <c:pt idx="1">
                  <c:v>North</c:v>
                </c:pt>
                <c:pt idx="2">
                  <c:v>South</c:v>
                </c:pt>
                <c:pt idx="3">
                  <c:v>West</c:v>
                </c:pt>
              </c:strCache>
            </c:strRef>
          </c:cat>
          <c:val>
            <c:numRef>
              <c:f>'Pivot-Region'!$F$3:$F$7</c:f>
              <c:numCache>
                <c:formatCode>#,##0</c:formatCode>
                <c:ptCount val="4"/>
                <c:pt idx="0">
                  <c:v>6372.2162950000011</c:v>
                </c:pt>
                <c:pt idx="1">
                  <c:v>9396.6765250000008</c:v>
                </c:pt>
                <c:pt idx="2">
                  <c:v>5303.2133749999994</c:v>
                </c:pt>
                <c:pt idx="3">
                  <c:v>7898.1283649999996</c:v>
                </c:pt>
              </c:numCache>
            </c:numRef>
          </c:val>
          <c:extLst>
            <c:ext xmlns:c16="http://schemas.microsoft.com/office/drawing/2014/chart" uri="{C3380CC4-5D6E-409C-BE32-E72D297353CC}">
              <c16:uniqueId val="{00000018-AF4F-4DF9-8D85-8C7E2B329FBA}"/>
            </c:ext>
          </c:extLst>
        </c:ser>
        <c:dLbls>
          <c:dLblPos val="outEnd"/>
          <c:showLegendKey val="0"/>
          <c:showVal val="1"/>
          <c:showCatName val="0"/>
          <c:showSerName val="0"/>
          <c:showPercent val="0"/>
          <c:showBubbleSize val="0"/>
        </c:dLbls>
        <c:gapWidth val="219"/>
        <c:overlap val="-27"/>
        <c:axId val="473110672"/>
        <c:axId val="473106080"/>
      </c:barChart>
      <c:catAx>
        <c:axId val="47311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06080"/>
        <c:crosses val="autoZero"/>
        <c:auto val="1"/>
        <c:lblAlgn val="ctr"/>
        <c:lblOffset val="100"/>
        <c:noMultiLvlLbl val="0"/>
      </c:catAx>
      <c:valAx>
        <c:axId val="47310608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311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[superstore_sales_project.xlsx]Pivot-Monthly!PivotTable1</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2023 Monthly Revenue</a:t>
            </a:r>
            <a:r>
              <a:rPr lang="en-US" baseline="0"/>
              <a:t> &amp; Profit Margin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4"/>
            </a:solidFill>
            <a:ln w="9525">
              <a:solidFill>
                <a:schemeClr val="accent4"/>
              </a:solidFill>
            </a:ln>
            <a:effectLst/>
          </c:spPr>
        </c:marker>
      </c:pivotFmt>
      <c:pivotFmt>
        <c:idx val="3"/>
        <c:spPr>
          <a:ln w="28575" cap="rnd">
            <a:solidFill>
              <a:schemeClr val="accent1"/>
            </a:solidFill>
            <a:round/>
          </a:ln>
          <a:effectLst/>
        </c:spPr>
        <c:marker>
          <c:spPr>
            <a:solidFill>
              <a:schemeClr val="accent1"/>
            </a:solidFill>
            <a:ln w="9525">
              <a:solidFill>
                <a:schemeClr val="accent1"/>
              </a:solidFill>
            </a:ln>
            <a:effectLst/>
          </c:spPr>
        </c:marker>
      </c:pivotFmt>
    </c:pivotFmts>
    <c:plotArea>
      <c:layout/>
      <c:lineChart>
        <c:grouping val="standard"/>
        <c:varyColors val="0"/>
        <c:ser>
          <c:idx val="0"/>
          <c:order val="0"/>
          <c:tx>
            <c:strRef>
              <c:f>'Pivot-Monthly'!$B$5</c:f>
              <c:strCache>
                <c:ptCount val="1"/>
                <c:pt idx="0">
                  <c:v>Sum of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'Pivot-Monthly'!$A$6:$A$18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'Pivot-Monthly'!$B$6:$B$18</c:f>
              <c:numCache>
                <c:formatCode>#,##0.00</c:formatCode>
                <c:ptCount val="12"/>
                <c:pt idx="0">
                  <c:v>28908.129999999997</c:v>
                </c:pt>
                <c:pt idx="1">
                  <c:v>26306.090000000004</c:v>
                </c:pt>
                <c:pt idx="2">
                  <c:v>16746.13</c:v>
                </c:pt>
                <c:pt idx="3">
                  <c:v>40373.99</c:v>
                </c:pt>
                <c:pt idx="4">
                  <c:v>26745.140000000007</c:v>
                </c:pt>
                <c:pt idx="5">
                  <c:v>34041.39</c:v>
                </c:pt>
                <c:pt idx="6">
                  <c:v>26481.049999999992</c:v>
                </c:pt>
                <c:pt idx="7">
                  <c:v>17386.370000000003</c:v>
                </c:pt>
                <c:pt idx="8">
                  <c:v>28688.86</c:v>
                </c:pt>
                <c:pt idx="9">
                  <c:v>35307.230000000003</c:v>
                </c:pt>
                <c:pt idx="10">
                  <c:v>12264.2</c:v>
                </c:pt>
                <c:pt idx="11">
                  <c:v>39097.4</c:v>
                </c:pt>
              </c:numCache>
            </c:numRef>
          </c:val>
          <c:smooth val="0"/>
          <c:extLst>
            <c:ext xmlns:c16="http://schemas.microsoft.com/office/drawing/2014/chart" uri="{C3380CC4-5D6E-409C-BE32-E72D297353CC}">
              <c16:uniqueId val="{00000000-D850-4F8B-AC21-FE0B63C09D39}"/>
            </c:ext>
          </c:extLst>
        </c:ser>
        <c:dLbls>
          <c:showLegendKey val="0"/>
          <c:showVal val="0"/>
          <c:showCatName val="0"/>
          <c:showSerName val="0"/>
          <c:showPercent val="0"/>
          <c:showBubbleSize val="0"/>
        </c:dLbls>
        <c:upDownBars>
          <c:gapWidth val="219"/>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509901152"/>
        <c:axId val="509902792"/>
      </c:lineChart>
      <c:lineChart>
        <c:grouping val="standard"/>
        <c:varyColors val="0"/>
        <c:ser>
          <c:idx val="3"/>
          <c:order val="1"/>
          <c:tx>
            <c:strRef>
              <c:f>'Pivot-Monthly'!$C$5</c:f>
              <c:strCache>
                <c:ptCount val="1"/>
                <c:pt idx="0">
                  <c:v>Average of Profit Margin %</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'Pivot-Monthly'!$A$6:$A$18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'Pivot-Monthly'!$C$6:$C$18</c:f>
              <c:numCache>
                <c:formatCode>0.00%</c:formatCode>
                <c:ptCount val="12"/>
                <c:pt idx="0">
                  <c:v>0.45097753963424236</c:v>
                </c:pt>
                <c:pt idx="1">
                  <c:v>0.43041392324439726</c:v>
                </c:pt>
                <c:pt idx="2">
                  <c:v>0.42141265325467581</c:v>
                </c:pt>
                <c:pt idx="3">
                  <c:v>0.43997349961975718</c:v>
                </c:pt>
                <c:pt idx="4">
                  <c:v>0.43865976008450414</c:v>
                </c:pt>
                <c:pt idx="5">
                  <c:v>0.42960588030908681</c:v>
                </c:pt>
                <c:pt idx="6">
                  <c:v>0.42605106071770771</c:v>
                </c:pt>
                <c:pt idx="7">
                  <c:v>0.39354115769713971</c:v>
                </c:pt>
                <c:pt idx="8">
                  <c:v>0.42981045343560981</c:v>
                </c:pt>
                <c:pt idx="9">
                  <c:v>0.41682825172594723</c:v>
                </c:pt>
                <c:pt idx="10">
                  <c:v>0.4477146700440981</c:v>
                </c:pt>
                <c:pt idx="11">
                  <c:v>0.39360396628754657</c:v>
                </c:pt>
              </c:numCache>
            </c:numRef>
          </c:val>
          <c:smooth val="0"/>
          <c:extLst>
            <c:ext xmlns:c16="http://schemas.microsoft.com/office/drawing/2014/chart" uri="{C3380CC4-5D6E-409C-BE32-E72D297353CC}">
              <c16:uniqueId val="{0000000A-D850-4F8B-AC21-FE0B63C09D39}"/>
            </c:ext>
          </c:extLst>
        </c:ser>
        <c:dLbls>
          <c:showLegendKey val="0"/>
          <c:showVal val="0"/>
          <c:showCatName val="0"/>
          <c:showSerName val="0"/>
          <c:showPercent val="0"/>
          <c:showBubbleSize val="0"/>
        </c:dLbls>
        <c:marker val="1"/>
        <c:smooth val="0"/>
        <c:axId val="587440592"/>
        <c:axId val="587437968"/>
      </c:lineChart>
      <c:catAx>
        <c:axId val="509901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2792"/>
        <c:crosses val="autoZero"/>
        <c:auto val="1"/>
        <c:lblAlgn val="ctr"/>
        <c:lblOffset val="100"/>
        <c:noMultiLvlLbl val="0"/>
      </c:catAx>
      <c:valAx>
        <c:axId val="509902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Sum of 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901152"/>
        <c:crosses val="autoZero"/>
        <c:crossBetween val="between"/>
      </c:valAx>
      <c:valAx>
        <c:axId val="587437968"/>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7440592"/>
        <c:crosses val="max"/>
        <c:crossBetween val="between"/>
      </c:valAx>
      <c:catAx>
        <c:axId val="587440592"/>
        <c:scaling>
          <c:orientation val="minMax"/>
        </c:scaling>
        <c:delete val="1"/>
        <c:axPos val="b"/>
        <c:numFmt formatCode="General" sourceLinked="1"/>
        <c:majorTickMark val="out"/>
        <c:minorTickMark val="none"/>
        <c:tickLblPos val="nextTo"/>
        <c:crossAx val="587437968"/>
        <c:auto val="1"/>
        <c:lblAlgn val="ctr"/>
        <c:lblOffset val="100"/>
        <c:noMultiLvlLbl val="0"/>
      </c:catAx>
      <c:spPr>
        <a:noFill/>
        <a:ln>
          <a:solidFill>
            <a:schemeClr val="accent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6</xdr:row>
      <xdr:rowOff>78441</xdr:rowOff>
    </xdr:from>
    <xdr:to>
      <xdr:col>16</xdr:col>
      <xdr:colOff>168155</xdr:colOff>
      <xdr:row>27</xdr:row>
      <xdr:rowOff>78442</xdr:rowOff>
    </xdr:to>
    <xdr:graphicFrame macro="">
      <xdr:nvGraphicFramePr>
        <xdr:cNvPr id="3" name="Chart 2">
          <a:extLst>
            <a:ext uri="{FF2B5EF4-FFF2-40B4-BE49-F238E27FC236}">
              <a16:creationId xmlns:a16="http://schemas.microsoft.com/office/drawing/2014/main" id="{9F2E2DBB-2076-4862-B30C-17EB3A6274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179295</xdr:colOff>
      <xdr:row>6</xdr:row>
      <xdr:rowOff>11207</xdr:rowOff>
    </xdr:from>
    <xdr:to>
      <xdr:col>26</xdr:col>
      <xdr:colOff>11205</xdr:colOff>
      <xdr:row>27</xdr:row>
      <xdr:rowOff>140183</xdr:rowOff>
    </xdr:to>
    <xdr:graphicFrame macro="">
      <xdr:nvGraphicFramePr>
        <xdr:cNvPr id="4" name="Chart 3">
          <a:extLst>
            <a:ext uri="{FF2B5EF4-FFF2-40B4-BE49-F238E27FC236}">
              <a16:creationId xmlns:a16="http://schemas.microsoft.com/office/drawing/2014/main" id="{C558B0C7-376D-4435-A8F4-F2BCED7B8F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13</xdr:col>
      <xdr:colOff>0</xdr:colOff>
      <xdr:row>28</xdr:row>
      <xdr:rowOff>0</xdr:rowOff>
    </xdr:from>
    <xdr:to>
      <xdr:col>16</xdr:col>
      <xdr:colOff>0</xdr:colOff>
      <xdr:row>37</xdr:row>
      <xdr:rowOff>30773</xdr:rowOff>
    </xdr:to>
    <mc:AlternateContent xmlns:mc="http://schemas.openxmlformats.org/markup-compatibility/2006">
      <mc:Choice xmlns:a14="http://schemas.microsoft.com/office/drawing/2010/main" Requires="a14">
        <xdr:graphicFrame macro="">
          <xdr:nvGraphicFramePr>
            <xdr:cNvPr id="5" name="Region 2">
              <a:extLst>
                <a:ext uri="{FF2B5EF4-FFF2-40B4-BE49-F238E27FC236}">
                  <a16:creationId xmlns:a16="http://schemas.microsoft.com/office/drawing/2014/main" id="{B479ED53-CF33-466A-9D17-5BFC97F282FC}"/>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1172265" y="5401235"/>
              <a:ext cx="1815353" cy="1745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0</xdr:colOff>
      <xdr:row>28</xdr:row>
      <xdr:rowOff>0</xdr:rowOff>
    </xdr:from>
    <xdr:to>
      <xdr:col>19</xdr:col>
      <xdr:colOff>0</xdr:colOff>
      <xdr:row>37</xdr:row>
      <xdr:rowOff>16120</xdr:rowOff>
    </xdr:to>
    <mc:AlternateContent xmlns:mc="http://schemas.openxmlformats.org/markup-compatibility/2006">
      <mc:Choice xmlns:a14="http://schemas.microsoft.com/office/drawing/2010/main" Requires="a14">
        <xdr:graphicFrame macro="">
          <xdr:nvGraphicFramePr>
            <xdr:cNvPr id="6" name="Category 2">
              <a:extLst>
                <a:ext uri="{FF2B5EF4-FFF2-40B4-BE49-F238E27FC236}">
                  <a16:creationId xmlns:a16="http://schemas.microsoft.com/office/drawing/2014/main" id="{DABE064F-7146-4CBB-8D00-B04455E5C99D}"/>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dr:sp macro="" textlink="">
          <xdr:nvSpPr>
            <xdr:cNvPr id="0" name=""/>
            <xdr:cNvSpPr>
              <a:spLocks noTextEdit="1"/>
            </xdr:cNvSpPr>
          </xdr:nvSpPr>
          <xdr:spPr>
            <a:xfrm>
              <a:off x="12987618" y="5401235"/>
              <a:ext cx="1815353" cy="173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79495</xdr:colOff>
      <xdr:row>9</xdr:row>
      <xdr:rowOff>102576</xdr:rowOff>
    </xdr:from>
    <xdr:to>
      <xdr:col>10</xdr:col>
      <xdr:colOff>7327</xdr:colOff>
      <xdr:row>28</xdr:row>
      <xdr:rowOff>124557</xdr:rowOff>
    </xdr:to>
    <xdr:graphicFrame macro="">
      <xdr:nvGraphicFramePr>
        <xdr:cNvPr id="2" name="Chart 1">
          <a:extLst>
            <a:ext uri="{FF2B5EF4-FFF2-40B4-BE49-F238E27FC236}">
              <a16:creationId xmlns:a16="http://schemas.microsoft.com/office/drawing/2014/main" id="{971695B0-C601-4E2B-9033-999786CA8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46893</xdr:colOff>
      <xdr:row>11</xdr:row>
      <xdr:rowOff>130419</xdr:rowOff>
    </xdr:from>
    <xdr:to>
      <xdr:col>13</xdr:col>
      <xdr:colOff>43962</xdr:colOff>
      <xdr:row>20</xdr:row>
      <xdr:rowOff>161192</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9D862B3B-BF7F-4C66-AF13-FB2CA6C1290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162085" y="2225919"/>
              <a:ext cx="1828800" cy="17452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142142</xdr:colOff>
      <xdr:row>13</xdr:row>
      <xdr:rowOff>73269</xdr:rowOff>
    </xdr:from>
    <xdr:to>
      <xdr:col>16</xdr:col>
      <xdr:colOff>146538</xdr:colOff>
      <xdr:row>22</xdr:row>
      <xdr:rowOff>89389</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43E7EC86-49EA-430D-8F01-FADCA13C267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5089065" y="2549769"/>
              <a:ext cx="1828800" cy="17306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124558</xdr:colOff>
      <xdr:row>2</xdr:row>
      <xdr:rowOff>133068</xdr:rowOff>
    </xdr:from>
    <xdr:to>
      <xdr:col>11</xdr:col>
      <xdr:colOff>156884</xdr:colOff>
      <xdr:row>23</xdr:row>
      <xdr:rowOff>161192</xdr:rowOff>
    </xdr:to>
    <xdr:graphicFrame macro="">
      <xdr:nvGraphicFramePr>
        <xdr:cNvPr id="3" name="Chart 2">
          <a:extLst>
            <a:ext uri="{FF2B5EF4-FFF2-40B4-BE49-F238E27FC236}">
              <a16:creationId xmlns:a16="http://schemas.microsoft.com/office/drawing/2014/main" id="{09ADFF4F-3F4E-435D-AE00-B5260F5219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ui Manalo" refreshedDate="46094.324380324077" createdVersion="6" refreshedVersion="6" minRefreshableVersion="3" recordCount="300" xr:uid="{5EF0384D-F4FF-4F46-8C23-017CDAFD3B7F}">
  <cacheSource type="worksheet">
    <worksheetSource name="salesdata"/>
  </cacheSource>
  <cacheFields count="16">
    <cacheField name="Order ID" numFmtId="0">
      <sharedItems/>
    </cacheField>
    <cacheField name="Date" numFmtId="166">
      <sharedItems containsSemiMixedTypes="0" containsNonDate="0" containsDate="1" containsString="0" minDate="2023-01-01T00:00:00" maxDate="2023-12-29T00:00:00" count="197">
        <d v="2023-11-04T00:00:00"/>
        <d v="2023-01-01T00:00:00"/>
        <d v="2023-10-09T00:00:00"/>
        <d v="2023-07-04T00:00:00"/>
        <d v="2023-07-03T00:00:00"/>
        <d v="2023-02-28T00:00:00"/>
        <d v="2023-06-07T00:00:00"/>
        <d v="2023-05-21T00:00:00"/>
        <d v="2023-02-07T00:00:00"/>
        <d v="2023-03-08T00:00:00"/>
        <d v="2023-01-28T00:00:00"/>
        <d v="2023-08-17T00:00:00"/>
        <d v="2023-06-04T00:00:00"/>
        <d v="2023-03-17T00:00:00"/>
        <d v="2023-09-01T00:00:00"/>
        <d v="2023-04-19T00:00:00"/>
        <d v="2023-08-18T00:00:00"/>
        <d v="2023-07-22T00:00:00"/>
        <d v="2023-10-18T00:00:00"/>
        <d v="2023-12-19T00:00:00"/>
        <d v="2023-07-15T00:00:00"/>
        <d v="2023-04-18T00:00:00"/>
        <d v="2023-09-04T00:00:00"/>
        <d v="2023-08-16T00:00:00"/>
        <d v="2023-08-10T00:00:00"/>
        <d v="2023-09-02T00:00:00"/>
        <d v="2023-09-03T00:00:00"/>
        <d v="2023-10-08T00:00:00"/>
        <d v="2023-04-22T00:00:00"/>
        <d v="2023-02-01T00:00:00"/>
        <d v="2023-06-03T00:00:00"/>
        <d v="2023-11-17T00:00:00"/>
        <d v="2023-02-24T00:00:00"/>
        <d v="2023-05-28T00:00:00"/>
        <d v="2023-05-06T00:00:00"/>
        <d v="2023-06-19T00:00:00"/>
        <d v="2023-04-28T00:00:00"/>
        <d v="2023-07-26T00:00:00"/>
        <d v="2023-08-12T00:00:00"/>
        <d v="2023-02-25T00:00:00"/>
        <d v="2023-02-09T00:00:00"/>
        <d v="2023-06-14T00:00:00"/>
        <d v="2023-09-22T00:00:00"/>
        <d v="2023-11-28T00:00:00"/>
        <d v="2023-09-05T00:00:00"/>
        <d v="2023-01-10T00:00:00"/>
        <d v="2023-12-06T00:00:00"/>
        <d v="2023-04-26T00:00:00"/>
        <d v="2023-11-19T00:00:00"/>
        <d v="2023-08-22T00:00:00"/>
        <d v="2023-12-28T00:00:00"/>
        <d v="2023-05-15T00:00:00"/>
        <d v="2023-04-13T00:00:00"/>
        <d v="2023-04-27T00:00:00"/>
        <d v="2023-06-10T00:00:00"/>
        <d v="2023-07-11T00:00:00"/>
        <d v="2023-10-19T00:00:00"/>
        <d v="2023-02-16T00:00:00"/>
        <d v="2023-04-07T00:00:00"/>
        <d v="2023-04-15T00:00:00"/>
        <d v="2023-11-11T00:00:00"/>
        <d v="2023-07-06T00:00:00"/>
        <d v="2023-08-28T00:00:00"/>
        <d v="2023-10-23T00:00:00"/>
        <d v="2023-04-23T00:00:00"/>
        <d v="2023-05-22T00:00:00"/>
        <d v="2023-08-09T00:00:00"/>
        <d v="2023-04-10T00:00:00"/>
        <d v="2023-01-18T00:00:00"/>
        <d v="2023-08-11T00:00:00"/>
        <d v="2023-10-21T00:00:00"/>
        <d v="2023-07-20T00:00:00"/>
        <d v="2023-10-02T00:00:00"/>
        <d v="2023-02-06T00:00:00"/>
        <d v="2023-09-08T00:00:00"/>
        <d v="2023-10-10T00:00:00"/>
        <d v="2023-11-27T00:00:00"/>
        <d v="2023-03-19T00:00:00"/>
        <d v="2023-03-11T00:00:00"/>
        <d v="2023-06-09T00:00:00"/>
        <d v="2023-04-17T00:00:00"/>
        <d v="2023-02-08T00:00:00"/>
        <d v="2023-05-14T00:00:00"/>
        <d v="2023-09-24T00:00:00"/>
        <d v="2023-05-24T00:00:00"/>
        <d v="2023-09-25T00:00:00"/>
        <d v="2023-07-02T00:00:00"/>
        <d v="2023-01-05T00:00:00"/>
        <d v="2023-07-28T00:00:00"/>
        <d v="2023-06-28T00:00:00"/>
        <d v="2023-12-03T00:00:00"/>
        <d v="2023-02-20T00:00:00"/>
        <d v="2023-11-13T00:00:00"/>
        <d v="2023-05-25T00:00:00"/>
        <d v="2023-12-25T00:00:00"/>
        <d v="2023-02-10T00:00:00"/>
        <d v="2023-05-27T00:00:00"/>
        <d v="2023-02-05T00:00:00"/>
        <d v="2023-02-15T00:00:00"/>
        <d v="2023-08-01T00:00:00"/>
        <d v="2023-06-22T00:00:00"/>
        <d v="2023-05-02T00:00:00"/>
        <d v="2023-11-12T00:00:00"/>
        <d v="2023-04-21T00:00:00"/>
        <d v="2023-09-07T00:00:00"/>
        <d v="2023-03-05T00:00:00"/>
        <d v="2023-01-06T00:00:00"/>
        <d v="2023-06-17T00:00:00"/>
        <d v="2023-01-02T00:00:00"/>
        <d v="2023-02-11T00:00:00"/>
        <d v="2023-10-17T00:00:00"/>
        <d v="2023-11-25T00:00:00"/>
        <d v="2023-12-04T00:00:00"/>
        <d v="2023-02-03T00:00:00"/>
        <d v="2023-07-12T00:00:00"/>
        <d v="2023-08-08T00:00:00"/>
        <d v="2023-06-01T00:00:00"/>
        <d v="2023-10-20T00:00:00"/>
        <d v="2023-11-14T00:00:00"/>
        <d v="2023-05-07T00:00:00"/>
        <d v="2023-07-18T00:00:00"/>
        <d v="2023-08-03T00:00:00"/>
        <d v="2023-01-11T00:00:00"/>
        <d v="2023-10-13T00:00:00"/>
        <d v="2023-10-05T00:00:00"/>
        <d v="2023-05-03T00:00:00"/>
        <d v="2023-06-23T00:00:00"/>
        <d v="2023-10-06T00:00:00"/>
        <d v="2023-10-22T00:00:00"/>
        <d v="2023-07-21T00:00:00"/>
        <d v="2023-02-17T00:00:00"/>
        <d v="2023-04-12T00:00:00"/>
        <d v="2023-03-09T00:00:00"/>
        <d v="2023-03-25T00:00:00"/>
        <d v="2023-03-18T00:00:00"/>
        <d v="2023-10-15T00:00:00"/>
        <d v="2023-06-26T00:00:00"/>
        <d v="2023-06-18T00:00:00"/>
        <d v="2023-08-02T00:00:00"/>
        <d v="2023-09-16T00:00:00"/>
        <d v="2023-03-16T00:00:00"/>
        <d v="2023-10-27T00:00:00"/>
        <d v="2023-07-09T00:00:00"/>
        <d v="2023-03-28T00:00:00"/>
        <d v="2023-05-10T00:00:00"/>
        <d v="2023-06-21T00:00:00"/>
        <d v="2023-03-14T00:00:00"/>
        <d v="2023-05-20T00:00:00"/>
        <d v="2023-01-16T00:00:00"/>
        <d v="2023-02-23T00:00:00"/>
        <d v="2023-08-04T00:00:00"/>
        <d v="2023-07-08T00:00:00"/>
        <d v="2023-04-20T00:00:00"/>
        <d v="2023-09-15T00:00:00"/>
        <d v="2023-10-24T00:00:00"/>
        <d v="2023-06-11T00:00:00"/>
        <d v="2023-11-08T00:00:00"/>
        <d v="2023-12-07T00:00:00"/>
        <d v="2023-08-21T00:00:00"/>
        <d v="2023-12-16T00:00:00"/>
        <d v="2023-04-25T00:00:00"/>
        <d v="2023-03-24T00:00:00"/>
        <d v="2023-11-18T00:00:00"/>
        <d v="2023-12-15T00:00:00"/>
        <d v="2023-05-19T00:00:00"/>
        <d v="2023-08-24T00:00:00"/>
        <d v="2023-09-17T00:00:00"/>
        <d v="2023-08-19T00:00:00"/>
        <d v="2023-09-13T00:00:00"/>
        <d v="2023-04-08T00:00:00"/>
        <d v="2023-03-22T00:00:00"/>
        <d v="2023-05-13T00:00:00"/>
        <d v="2023-04-24T00:00:00"/>
        <d v="2023-01-09T00:00:00"/>
        <d v="2023-11-22T00:00:00"/>
        <d v="2023-12-18T00:00:00"/>
        <d v="2023-11-02T00:00:00"/>
        <d v="2023-07-01T00:00:00"/>
        <d v="2023-03-04T00:00:00"/>
        <d v="2023-05-26T00:00:00"/>
        <d v="2023-02-21T00:00:00"/>
        <d v="2023-01-08T00:00:00"/>
        <d v="2023-12-27T00:00:00"/>
        <d v="2023-09-11T00:00:00"/>
        <d v="2023-06-20T00:00:00"/>
        <d v="2023-06-12T00:00:00"/>
        <d v="2023-12-21T00:00:00"/>
        <d v="2023-11-16T00:00:00"/>
        <d v="2023-10-07T00:00:00"/>
        <d v="2023-09-18T00:00:00"/>
        <d v="2023-06-15T00:00:00"/>
        <d v="2023-09-06T00:00:00"/>
        <d v="2023-08-05T00:00:00"/>
        <d v="2023-09-27T00:00:00"/>
        <d v="2023-03-26T00:00:00"/>
        <d v="2023-12-10T00:00:00"/>
        <d v="2023-02-13T00:00:00"/>
      </sharedItems>
    </cacheField>
    <cacheField name="Month" numFmtId="0">
      <sharedItems count="12">
        <s v="Nov"/>
        <s v="Jan"/>
        <s v="Oct"/>
        <s v="Jul"/>
        <s v="Feb"/>
        <s v="Jun"/>
        <s v="May"/>
        <s v="Mar"/>
        <s v="Aug"/>
        <s v="Sep"/>
        <s v="Apr"/>
        <s v="Dec"/>
      </sharedItems>
    </cacheField>
    <cacheField name="Quarter" numFmtId="0">
      <sharedItems/>
    </cacheField>
    <cacheField name="Region" numFmtId="0">
      <sharedItems count="4">
        <s v="North"/>
        <s v="East"/>
        <s v="South"/>
        <s v="West"/>
      </sharedItems>
    </cacheField>
    <cacheField name="Category" numFmtId="0">
      <sharedItems count="5">
        <s v="Office Supplies"/>
        <s v="Furniture"/>
        <s v="Sports"/>
        <s v="Electronics"/>
        <s v="Clothing"/>
      </sharedItems>
    </cacheField>
    <cacheField name="Product" numFmtId="0">
      <sharedItems/>
    </cacheField>
    <cacheField name="Sales Rep" numFmtId="0">
      <sharedItems/>
    </cacheField>
    <cacheField name="Unit Price" numFmtId="167">
      <sharedItems containsSemiMixedTypes="0" containsString="0" containsNumber="1" minValue="4.54" maxValue="278.07"/>
    </cacheField>
    <cacheField name="Units Sold" numFmtId="3">
      <sharedItems containsSemiMixedTypes="0" containsString="0" containsNumber="1" containsInteger="1" minValue="1" maxValue="30"/>
    </cacheField>
    <cacheField name="Revenue" numFmtId="167">
      <sharedItems containsSemiMixedTypes="0" containsString="0" containsNumber="1" minValue="10.92" maxValue="7701.68" count="300">
        <n v="19.399999999999999"/>
        <n v="4073.07"/>
        <n v="1454.53"/>
        <n v="187.68"/>
        <n v="137.76"/>
        <n v="1521.18"/>
        <n v="373.44"/>
        <n v="272.74"/>
        <n v="5637.8700000000008"/>
        <n v="54.050000000000004"/>
        <n v="2336.4899999999998"/>
        <n v="558.36"/>
        <n v="1298.4000000000001"/>
        <n v="146.5"/>
        <n v="593.63"/>
        <n v="1250.1000000000001"/>
        <n v="248.7"/>
        <n v="138.32"/>
        <n v="785.82"/>
        <n v="665.12"/>
        <n v="796.16"/>
        <n v="6573.32"/>
        <n v="1662.8"/>
        <n v="954.24"/>
        <n v="212.42"/>
        <n v="69.649999999999991"/>
        <n v="6448.12"/>
        <n v="396"/>
        <n v="583.67999999999995"/>
        <n v="1824.69"/>
        <n v="78.680000000000007"/>
        <n v="241.74"/>
        <n v="376.59999999999997"/>
        <n v="105.77"/>
        <n v="507.1"/>
        <n v="277.24"/>
        <n v="1834.25"/>
        <n v="998.64"/>
        <n v="5938.2"/>
        <n v="10.92"/>
        <n v="2398.5"/>
        <n v="200.88000000000002"/>
        <n v="734.71999999999991"/>
        <n v="425.27"/>
        <n v="824.69999999999993"/>
        <n v="81.400000000000006"/>
        <n v="845.40000000000009"/>
        <n v="3397.5"/>
        <n v="142"/>
        <n v="2944.64"/>
        <n v="1502.3400000000001"/>
        <n v="1110.1600000000001"/>
        <n v="426.24"/>
        <n v="534.6"/>
        <n v="154.85999999999999"/>
        <n v="3576.2400000000002"/>
        <n v="597.75"/>
        <n v="185.31"/>
        <n v="5005.26"/>
        <n v="400.02"/>
        <n v="336.69"/>
        <n v="75.900000000000006"/>
        <n v="847.44"/>
        <n v="38.64"/>
        <n v="1937.5200000000002"/>
        <n v="641.52"/>
        <n v="938.04"/>
        <n v="366.93"/>
        <n v="484.5"/>
        <n v="1939.32"/>
        <n v="565.68000000000006"/>
        <n v="530.08000000000004"/>
        <n v="480.72"/>
        <n v="69.3"/>
        <n v="6311.5"/>
        <n v="81.72"/>
        <n v="5078.1299999999992"/>
        <n v="86.13"/>
        <n v="1131.1199999999999"/>
        <n v="135.39999999999998"/>
        <n v="1107.18"/>
        <n v="585.52"/>
        <n v="3260.67"/>
        <n v="120.9"/>
        <n v="562.41"/>
        <n v="43.84"/>
        <n v="595.98"/>
        <n v="177.20999999999998"/>
        <n v="1058.58"/>
        <n v="1105.92"/>
        <n v="89.600000000000009"/>
        <n v="2509.7999999999997"/>
        <n v="396.52"/>
        <n v="917.0200000000001"/>
        <n v="834.6"/>
        <n v="239.85"/>
        <n v="500.56"/>
        <n v="2537.34"/>
        <n v="872.25"/>
        <n v="1229.58"/>
        <n v="193.36"/>
        <n v="1966.3999999999999"/>
        <n v="286.16000000000003"/>
        <n v="271.3"/>
        <n v="371.64"/>
        <n v="416.64000000000004"/>
        <n v="768"/>
        <n v="1301.04"/>
        <n v="1340.2"/>
        <n v="517.72"/>
        <n v="1043.28"/>
        <n v="280.16999999999996"/>
        <n v="221.13000000000002"/>
        <n v="94.44"/>
        <n v="730.65"/>
        <n v="229.92"/>
        <n v="1325.7"/>
        <n v="7701.68"/>
        <n v="199"/>
        <n v="1087.58"/>
        <n v="2329.7999999999997"/>
        <n v="2086.3200000000002"/>
        <n v="3349.68"/>
        <n v="49.42"/>
        <n v="2404.7999999999997"/>
        <n v="2763.7400000000002"/>
        <n v="393.07"/>
        <n v="2091.96"/>
        <n v="244.60000000000002"/>
        <n v="671.65"/>
        <n v="613.13000000000011"/>
        <n v="51.660000000000004"/>
        <n v="1252.58"/>
        <n v="785.28"/>
        <n v="685.1"/>
        <n v="306.54000000000002"/>
        <n v="259.25"/>
        <n v="1111.2"/>
        <n v="184.32"/>
        <n v="314.44"/>
        <n v="175.70000000000002"/>
        <n v="264.32"/>
        <n v="1137.25"/>
        <n v="61.1"/>
        <n v="6386"/>
        <n v="70.05"/>
        <n v="56.54"/>
        <n v="244.44"/>
        <n v="13.8"/>
        <n v="614.25"/>
        <n v="145.75"/>
        <n v="200.16"/>
        <n v="266.11"/>
        <n v="599.34"/>
        <n v="101.35"/>
        <n v="35.950000000000003"/>
        <n v="389.52"/>
        <n v="959.92000000000007"/>
        <n v="725.48"/>
        <n v="235.44"/>
        <n v="1134.8999999999999"/>
        <n v="152.67000000000002"/>
        <n v="4226.04"/>
        <n v="24.35"/>
        <n v="63.04"/>
        <n v="1155.2"/>
        <n v="391.14"/>
        <n v="1023"/>
        <n v="154.32"/>
        <n v="6322.42"/>
        <n v="2658.92"/>
        <n v="3235.4999999999995"/>
        <n v="737.47"/>
        <n v="187.2"/>
        <n v="575.52"/>
        <n v="5393.04"/>
        <n v="1387.92"/>
        <n v="2565.36"/>
        <n v="151.47"/>
        <n v="3651.36"/>
        <n v="1197.1199999999999"/>
        <n v="425.73"/>
        <n v="605.21999999999991"/>
        <n v="244.79999999999998"/>
        <n v="2427.84"/>
        <n v="1822.2299999999998"/>
        <n v="252.48"/>
        <n v="657.54"/>
        <n v="788.40000000000009"/>
        <n v="6127.75"/>
        <n v="573.1"/>
        <n v="1599.01"/>
        <n v="435.37"/>
        <n v="569"/>
        <n v="35.82"/>
        <n v="350.03"/>
        <n v="6655.21"/>
        <n v="1895.75"/>
        <n v="95.54"/>
        <n v="2151.4900000000002"/>
        <n v="528.77"/>
        <n v="255.39999999999998"/>
        <n v="689.9"/>
        <n v="560.88"/>
        <n v="827.6099999999999"/>
        <n v="250.14"/>
        <n v="384.96"/>
        <n v="114.12"/>
        <n v="47.84"/>
        <n v="4103.6399999999994"/>
        <n v="470.4"/>
        <n v="709.56000000000006"/>
        <n v="438.84"/>
        <n v="5958.6"/>
        <n v="48.75"/>
        <n v="546.78"/>
        <n v="947.2"/>
        <n v="943.0200000000001"/>
        <n v="4430.2299999999996"/>
        <n v="242.08"/>
        <n v="763.25"/>
        <n v="44.68"/>
        <n v="289.76"/>
        <n v="598.52"/>
        <n v="178.41000000000003"/>
        <n v="330.12"/>
        <n v="782.55000000000007"/>
        <n v="164.06"/>
        <n v="1125.18"/>
        <n v="642.25"/>
        <n v="220.79999999999998"/>
        <n v="3750.9"/>
        <n v="144.13"/>
        <n v="285.14"/>
        <n v="3627.18"/>
        <n v="1040.25"/>
        <n v="795.53"/>
        <n v="426.69"/>
        <n v="132.5"/>
        <n v="177.29999999999998"/>
        <n v="481.39"/>
        <n v="1893"/>
        <n v="527.20000000000005"/>
        <n v="222.08"/>
        <n v="1892.9699999999998"/>
        <n v="69.16"/>
        <n v="542.64"/>
        <n v="1098.0900000000001"/>
        <n v="280.2"/>
        <n v="14.76"/>
        <n v="1349.19"/>
        <n v="677.28000000000009"/>
        <n v="271.04000000000002"/>
        <n v="870.88"/>
        <n v="2318.4"/>
        <n v="27.69"/>
        <n v="2361.13"/>
        <n v="673.74"/>
        <n v="2335.6200000000003"/>
        <n v="154.94999999999999"/>
        <n v="660"/>
        <n v="131.88"/>
        <n v="5611.75"/>
        <n v="51.39"/>
        <n v="415.00000000000006"/>
        <n v="558.63"/>
        <n v="697.31999999999994"/>
        <n v="67.75"/>
        <n v="602.37"/>
        <n v="684.2"/>
        <n v="340.08"/>
        <n v="240.03"/>
        <n v="1347.72"/>
        <n v="350.1"/>
        <n v="2359.6"/>
        <n v="162.99"/>
        <n v="1120.24"/>
        <n v="459.84000000000003"/>
        <n v="170.70000000000002"/>
        <n v="222.95999999999998"/>
        <n v="132.08000000000001"/>
        <n v="629.86"/>
        <n v="935.82"/>
        <n v="479.4"/>
        <n v="1033.03"/>
        <n v="43.449999999999996"/>
        <n v="1680.61"/>
        <n v="3048.36"/>
        <n v="318.08"/>
        <n v="415.36"/>
        <n v="939.88"/>
        <n v="410.62"/>
        <n v="231"/>
        <n v="931.4"/>
        <n v="4198.2"/>
        <n v="1330.75"/>
        <n v="5085.45"/>
        <n v="552.37"/>
        <n v="21.27"/>
        <n v="565.04"/>
      </sharedItems>
    </cacheField>
    <cacheField name="Discount %" numFmtId="9">
      <sharedItems containsSemiMixedTypes="0" containsString="0" containsNumber="1" minValue="0" maxValue="0.2"/>
    </cacheField>
    <cacheField name="Net Revenue" numFmtId="167">
      <sharedItems containsSemiMixedTypes="0" containsString="0" containsNumber="1" minValue="10.898160000000001" maxValue="7693.9783200000002"/>
    </cacheField>
    <cacheField name="Cost" numFmtId="167">
      <sharedItems containsSemiMixedTypes="0" containsString="0" containsNumber="1" minValue="5.52" maxValue="4387.2700000000004"/>
    </cacheField>
    <cacheField name="Profit" numFmtId="167">
      <sharedItems containsSemiMixedTypes="0" containsString="0" containsNumber="1" minValue="5.3781600000000012" maxValue="4036.9783200000002"/>
    </cacheField>
    <cacheField name="Profit Margin %" numFmtId="164">
      <sharedItems containsSemiMixedTypes="0" containsString="0" containsNumber="1" minValue="0.29954828697036728" maxValue="0.54883297269369147" count="300">
        <n v="0.40257731958762882"/>
        <n v="0.49412096500143088"/>
        <n v="0.52397517246643766"/>
        <n v="0.41464343862490544"/>
        <n v="0.35645813615286165"/>
        <n v="0.50888976513820383"/>
        <n v="0.43439374464438729"/>
        <n v="0.44929163232309083"/>
        <n v="0.51331127259920828"/>
        <n v="0.52634223117836043"/>
        <n v="0.40012480104541076"/>
        <n v="0.35749449336029865"/>
        <n v="0.30671589645716274"/>
        <n v="0.41529010238907854"/>
        <n v="0.48993245675277719"/>
        <n v="0.51790256779457655"/>
        <n v="0.37121757501187258"/>
        <n v="0.4655147484094852"/>
        <n v="0.49277188160138463"/>
        <n v="0.4149107269535659"/>
        <n v="0.46061827870423"/>
        <n v="0.48783263252055276"/>
        <n v="0.43920495549675242"/>
        <n v="0.50817964314149033"/>
        <n v="0.31794350239803076"/>
        <n v="0.40516870064608751"/>
        <n v="0.53579027685588976"/>
        <n v="0.51925362791662244"/>
        <n v="0.31570482214670814"/>
        <n v="0.43541363324796301"/>
        <n v="0.5166622457136042"/>
        <n v="0.39681928330757582"/>
        <n v="0.52089693279991034"/>
        <n v="0.42355596820817526"/>
        <n v="0.39069217116939459"/>
        <n v="0.41364882412350312"/>
        <n v="0.3252937167779747"/>
        <n v="0.31860330048866453"/>
        <n v="0.35376924868690052"/>
        <n v="0.49349247946442343"/>
        <n v="0.47982170204392427"/>
        <n v="0.3146272517041136"/>
        <n v="0.36722164237408128"/>
        <n v="0.54883297269369147"/>
        <n v="0.39363396378068377"/>
        <n v="0.37473778234919958"/>
        <n v="0.41211794033610155"/>
        <n v="0.42192140956423763"/>
        <n v="0.38145128902479403"/>
        <n v="0.43615857965659638"/>
        <n v="0.32684345753957172"/>
        <n v="0.43590113136845143"/>
        <n v="0.32447477537657893"/>
        <n v="0.39212506569442668"/>
        <n v="0.51543329458866061"/>
        <n v="0.44493655902279472"/>
        <n v="0.42989348095753005"/>
        <n v="0.42761262934820993"/>
        <n v="0.32326192845126928"/>
        <n v="0.48495075246237684"/>
        <n v="0.48617571282523003"/>
        <n v="0.36139657444005274"/>
        <n v="0.40893750590012279"/>
        <n v="0.52227666628345226"/>
        <n v="0.52426768733472817"/>
        <n v="0.53229822914322222"/>
        <n v="0.37189418707783567"/>
        <n v="0.46919743904328925"/>
        <n v="0.46499728953595515"/>
        <n v="0.47956020703169189"/>
        <n v="0.42699723464421646"/>
        <n v="0.37613936751792348"/>
        <n v="0.461518433061119"/>
        <n v="0.36392496392496393"/>
        <n v="0.30452907670661755"/>
        <n v="0.48201174743024966"/>
        <n v="0.43236363274811457"/>
        <n v="0.42616816203057634"/>
        <n v="0.41048695098663274"/>
        <n v="0.47276897621173253"/>
        <n v="0.50629228160206297"/>
        <n v="0.37291025619381629"/>
        <n v="0.44343727402900457"/>
        <n v="0.40102391973488827"/>
        <n v="0.43941153051644799"/>
        <n v="0.30041058394160586"/>
        <n v="0.31958954655510563"/>
        <n v="0.38186592438609807"/>
        <n v="0.43633924691567949"/>
        <n v="0.44556901708509622"/>
        <n v="0.41242942900021451"/>
        <n v="0.41194119053311012"/>
        <n v="0.42256511086169535"/>
        <n v="0.3192164335859235"/>
        <n v="0.34456804246839456"/>
        <n v="0.46258997043492867"/>
        <n v="0.49086567361030359"/>
        <n v="0.42614312626608974"/>
        <n v="0.3694009744912583"/>
        <n v="0.38657803716260963"/>
        <n v="0.30017760224754503"/>
        <n v="0.53851200162733925"/>
        <n v="0.50744338831422986"/>
        <n v="0.43447580775275219"/>
        <n v="0.43956517059519962"/>
        <n v="0.33567305643565204"/>
        <n v="0.3055208333333333"/>
        <n v="0.34044594138162565"/>
        <n v="0.38027512487776505"/>
        <n v="0.36628276271326565"/>
        <n v="0.41665843437179984"/>
        <n v="0.43302280758111139"/>
        <n v="0.48378781712115049"/>
        <n v="0.38151207115628971"/>
        <n v="0.38740327530493501"/>
        <n v="0.45280967292971464"/>
        <n v="0.39489751170138421"/>
        <n v="0.52469322788525874"/>
        <n v="0.52618805450096173"/>
        <n v="0.53259146721524586"/>
        <n v="0.48068503734226103"/>
        <n v="0.40248221430397713"/>
        <n v="0.43095758400802464"/>
        <n v="0.43516881872745361"/>
        <n v="0.53069395610915771"/>
        <n v="0.45423290238649144"/>
        <n v="0.33670847431755152"/>
        <n v="0.44918901456137"/>
        <n v="0.53226157957779829"/>
        <n v="0.38196217508359248"/>
        <n v="0.5110010765172518"/>
        <n v="0.3473314280059116"/>
        <n v="0.31925598111770442"/>
        <n v="0.52709861450692741"/>
        <n v="0.35515722992003829"/>
        <n v="0.48199256214523395"/>
        <n v="0.46391513982642241"/>
        <n v="0.54804715622750177"/>
        <n v="0.50533439047460071"/>
        <n v="0.44081541788576512"/>
        <n v="0.5210468068410985"/>
        <n v="0.48914194915254233"/>
        <n v="0.53095625412178504"/>
        <n v="0.50056861491302118"/>
        <n v="0.37846253107530442"/>
        <n v="0.35042467700659763"/>
        <n v="0.4577290413866289"/>
        <n v="0.43773523154966454"/>
        <n v="0.52295896140106302"/>
        <n v="0.41775288468675237"/>
        <n v="0.35259005145797601"/>
        <n v="0.46687649880095927"/>
        <n v="0.47243621058960589"/>
        <n v="0.54502839342830001"/>
        <n v="0.53083374444992604"/>
        <n v="0.50458970792767743"/>
        <n v="0.30716025500941063"/>
        <n v="0.32273497741378249"/>
        <n v="0.34583999558912726"/>
        <n v="0.47872069317023441"/>
        <n v="0.34542123471639768"/>
        <n v="0.49330348229935578"/>
        <n v="0.37474688138807077"/>
        <n v="0.49584648587127245"/>
        <n v="0.44483663151372649"/>
        <n v="0.37006245505023988"/>
        <n v="0.41910824768625038"/>
        <n v="0.36286813983726957"/>
        <n v="0.51623474174018491"/>
        <n v="0.5342179102305763"/>
        <n v="0.42086262844689393"/>
        <n v="0.3335589553392056"/>
        <n v="0.46436801662689031"/>
        <n v="0.52936883958416259"/>
        <n v="0.47309976923407498"/>
        <n v="0.39567495343087589"/>
        <n v="0.31183353507406769"/>
        <n v="0.45892270166446109"/>
        <n v="0.41764045685614315"/>
        <n v="0.32059256230210975"/>
        <n v="0.51910598442765887"/>
        <n v="0.4125384633453128"/>
        <n v="0.49081325798883041"/>
        <n v="0.39681372549019606"/>
        <n v="0.51866267958349821"/>
        <n v="0.35803932544190353"/>
        <n v="0.31557825252375316"/>
        <n v="0.5185261822138979"/>
        <n v="0.33863340763391508"/>
        <n v="0.39455672840581507"/>
        <n v="0.47492343033831846"/>
        <n v="0.3977442211036748"/>
        <n v="0.47028963869811885"/>
        <n v="0.33290093312200297"/>
        <n v="0.29954828697036728"/>
        <n v="0.30695891683375315"/>
        <n v="0.4775199537117964"/>
        <n v="0.4577386322131225"/>
        <n v="0.35751763103347167"/>
        <n v="0.36062653993018534"/>
        <n v="0.34846055087369832"/>
        <n v="0.50898431712840475"/>
        <n v="0.34475415536101917"/>
        <n v="0.4007452574525745"/>
        <n v="0.51232415254507768"/>
        <n v="0.51146036236732972"/>
        <n v="0.37367518703241887"/>
        <n v="0.32049517893129409"/>
        <n v="0.41044937184311225"/>
        <n v="0.47779008861879446"/>
        <n v="0.46345663265306125"/>
        <n v="0.5154434988507276"/>
        <n v="0.44667760459392941"/>
        <n v="0.42949201864272973"/>
        <n v="0.41591308474750194"/>
        <n v="0.35204024076276824"/>
        <n v="0.4783423626329032"/>
        <n v="0.46726474518037797"/>
        <n v="0.50588016146653036"/>
        <n v="0.30452742894910773"/>
        <n v="0.31108692243271985"/>
        <n v="0.47208651860569845"/>
        <n v="0.43045969077857538"/>
        <n v="0.35931676324027151"/>
        <n v="0.53455523793509341"/>
        <n v="0.52009313671569479"/>
        <n v="0.42164717909398769"/>
        <n v="0.34576577573194739"/>
        <n v="0.31635827156543844"/>
        <n v="0.45557885290372313"/>
        <n v="0.50534420289855064"/>
        <n v="0.41613078125813319"/>
        <n v="0.541802539374176"/>
        <n v="0.39937390387143085"/>
        <n v="0.36109354530043214"/>
        <n v="0.49031463571237666"/>
        <n v="0.39347353336769197"/>
        <n v="0.44715404447926671"/>
        <n v="0.34875471698113203"/>
        <n v="0.46730274330622718"/>
        <n v="0.33158146201624467"/>
        <n v="0.49708399366085582"/>
        <n v="0.35548218932133963"/>
        <n v="0.52449026294664258"/>
        <n v="0.36438950654373869"/>
        <n v="0.42437962763915221"/>
        <n v="0.50722873839488902"/>
        <n v="0.31371745485342739"/>
        <n v="0.49532476802284081"/>
        <n v="0.41734417344173441"/>
        <n v="0.34745988266934091"/>
        <n v="0.34589607584326076"/>
        <n v="0.47464877657246579"/>
        <n v="0.39082307550982914"/>
        <n v="0.32626380262249832"/>
        <n v="0.32468943030561864"/>
        <n v="0.36195804551210653"/>
        <n v="0.37982492484831093"/>
        <n v="0.33999076674172551"/>
        <n v="0.49172303949622381"/>
        <n v="0.35017508754377191"/>
        <n v="0.36518046709129509"/>
        <n v="0.52419743528823259"/>
        <n v="0.41077485346798448"/>
        <n v="0.36865060240963865"/>
        <n v="0.51256719263491635"/>
        <n v="0.31360161810957676"/>
        <n v="0.54811354016491642"/>
        <n v="0.47497385327954583"/>
        <n v="0.36593552549440467"/>
        <n v="0.52095708976442923"/>
        <n v="0.34932148177536587"/>
        <n v="0.37118244145668239"/>
        <n v="0.41311567465451254"/>
        <n v="0.40919223597219867"/>
        <n v="0.42219100224386696"/>
        <n v="0.46376669285153177"/>
        <n v="0.46290013917884487"/>
        <n v="0.46917854455249108"/>
        <n v="0.42077246014467573"/>
        <n v="0.50340702604482135"/>
        <n v="0.54819028784500223"/>
        <n v="0.45854972110021164"/>
        <n v="0.40235760399046633"/>
        <n v="0.38193469695943"/>
        <n v="0.4445062300009277"/>
        <n v="0.41130898899804236"/>
        <n v="0.31132828165986981"/>
        <n v="0.37144776520918205"/>
        <n v="0.5416140273526594"/>
        <n v="0.4830191088224029"/>
        <n v="0.36600750085236966"/>
        <n v="0.44012987012987009"/>
        <n v="0.50778648109591917"/>
        <n v="0.46909866133104661"/>
        <n v="0.31930207917549819"/>
        <n v="0.35929580773239672"/>
        <n v="0.5302261564605032"/>
        <n v="0.3671838269863657"/>
        <n v="0.42608993864056477"/>
      </sharedItems>
    </cacheField>
  </cacheFields>
  <extLst>
    <ext xmlns:x14="http://schemas.microsoft.com/office/spreadsheetml/2009/9/main" uri="{725AE2AE-9491-48be-B2B4-4EB974FC3084}">
      <x14:pivotCacheDefinition pivotCacheId="11991587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ORD-0001"/>
    <x v="0"/>
    <x v="0"/>
    <s v="Q4"/>
    <x v="0"/>
    <x v="0"/>
    <s v="Pens Set"/>
    <s v="David Lee"/>
    <n v="4.8499999999999996"/>
    <n v="4"/>
    <x v="0"/>
    <n v="0"/>
    <n v="19.399999999999999"/>
    <n v="11.59"/>
    <n v="7.8099999999999987"/>
    <x v="0"/>
  </r>
  <r>
    <s v="ORD-0002"/>
    <x v="1"/>
    <x v="1"/>
    <s v="Q1"/>
    <x v="0"/>
    <x v="1"/>
    <s v="Chair"/>
    <s v="Alice Johnson"/>
    <n v="177.09"/>
    <n v="23"/>
    <x v="1"/>
    <n v="0.15"/>
    <n v="4066.9603950000005"/>
    <n v="2057.39"/>
    <n v="2009.5703950000006"/>
    <x v="1"/>
  </r>
  <r>
    <s v="ORD-0003"/>
    <x v="2"/>
    <x v="2"/>
    <s v="Q4"/>
    <x v="0"/>
    <x v="1"/>
    <s v="Cabinet"/>
    <s v="Frank Wilson"/>
    <n v="207.79"/>
    <n v="7"/>
    <x v="2"/>
    <n v="0.1"/>
    <n v="1453.07547"/>
    <n v="691.7"/>
    <n v="761.37546999999995"/>
    <x v="2"/>
  </r>
  <r>
    <s v="ORD-0004"/>
    <x v="3"/>
    <x v="3"/>
    <s v="Q3"/>
    <x v="1"/>
    <x v="0"/>
    <s v="Folders"/>
    <s v="Emma Davis"/>
    <n v="7.82"/>
    <n v="24"/>
    <x v="3"/>
    <n v="0.2"/>
    <n v="187.30464000000001"/>
    <n v="109.64"/>
    <n v="77.664640000000006"/>
    <x v="3"/>
  </r>
  <r>
    <s v="ORD-0005"/>
    <x v="4"/>
    <x v="3"/>
    <s v="Q3"/>
    <x v="1"/>
    <x v="2"/>
    <s v="Tennis Racket"/>
    <s v="David Lee"/>
    <n v="68.88"/>
    <n v="2"/>
    <x v="4"/>
    <n v="0.05"/>
    <n v="137.69112000000001"/>
    <n v="88.61"/>
    <n v="49.081120000000013"/>
    <x v="4"/>
  </r>
  <r>
    <s v="ORD-0006"/>
    <x v="5"/>
    <x v="4"/>
    <s v="Q1"/>
    <x v="2"/>
    <x v="3"/>
    <s v="Headphones"/>
    <s v="Emma Davis"/>
    <n v="56.34"/>
    <n v="27"/>
    <x v="5"/>
    <n v="0.1"/>
    <n v="1519.6588200000001"/>
    <n v="746.32"/>
    <n v="773.33882000000006"/>
    <x v="5"/>
  </r>
  <r>
    <s v="ORD-0007"/>
    <x v="6"/>
    <x v="5"/>
    <s v="Q2"/>
    <x v="1"/>
    <x v="3"/>
    <s v="Webcam"/>
    <s v="Carol White"/>
    <n v="46.68"/>
    <n v="8"/>
    <x v="6"/>
    <n v="0"/>
    <n v="373.44"/>
    <n v="211.22"/>
    <n v="162.22"/>
    <x v="6"/>
  </r>
  <r>
    <s v="ORD-0008"/>
    <x v="7"/>
    <x v="6"/>
    <s v="Q2"/>
    <x v="2"/>
    <x v="0"/>
    <s v="Notebook"/>
    <s v="David Lee"/>
    <n v="10.49"/>
    <n v="26"/>
    <x v="7"/>
    <n v="0.1"/>
    <n v="272.46726000000001"/>
    <n v="150.05000000000001"/>
    <n v="122.41726"/>
    <x v="7"/>
  </r>
  <r>
    <s v="ORD-0009"/>
    <x v="8"/>
    <x v="4"/>
    <s v="Q1"/>
    <x v="1"/>
    <x v="1"/>
    <s v="Cabinet"/>
    <s v="Grace Kim"/>
    <n v="268.47000000000003"/>
    <n v="21"/>
    <x v="8"/>
    <n v="0.2"/>
    <n v="5626.5942600000008"/>
    <n v="2738.4"/>
    <n v="2888.1942600000007"/>
    <x v="8"/>
  </r>
  <r>
    <s v="ORD-0010"/>
    <x v="9"/>
    <x v="7"/>
    <s v="Q1"/>
    <x v="1"/>
    <x v="2"/>
    <s v="Jump Rope"/>
    <s v="Grace Kim"/>
    <n v="10.81"/>
    <n v="5"/>
    <x v="9"/>
    <n v="0.2"/>
    <n v="53.941900000000004"/>
    <n v="25.55"/>
    <n v="28.391900000000003"/>
    <x v="9"/>
  </r>
  <r>
    <s v="ORD-0011"/>
    <x v="10"/>
    <x v="1"/>
    <s v="Q1"/>
    <x v="0"/>
    <x v="1"/>
    <s v="Chair"/>
    <s v="Grace Kim"/>
    <n v="179.73"/>
    <n v="13"/>
    <x v="10"/>
    <n v="0.15"/>
    <n v="2332.9852649999998"/>
    <n v="1399.5"/>
    <n v="933.4852649999998"/>
    <x v="10"/>
  </r>
  <r>
    <s v="ORD-0012"/>
    <x v="11"/>
    <x v="8"/>
    <s v="Q3"/>
    <x v="1"/>
    <x v="2"/>
    <s v="Yoga Mat"/>
    <s v="Bob Martinez"/>
    <n v="31.02"/>
    <n v="18"/>
    <x v="11"/>
    <n v="0.05"/>
    <n v="558.08082000000002"/>
    <n v="358.57"/>
    <n v="199.51082000000002"/>
    <x v="11"/>
  </r>
  <r>
    <s v="ORD-0013"/>
    <x v="12"/>
    <x v="5"/>
    <s v="Q2"/>
    <x v="1"/>
    <x v="4"/>
    <s v="Jacket"/>
    <s v="Henry Brown"/>
    <n v="54.1"/>
    <n v="24"/>
    <x v="12"/>
    <n v="0.05"/>
    <n v="1297.7508000000003"/>
    <n v="899.71"/>
    <n v="398.04080000000022"/>
    <x v="12"/>
  </r>
  <r>
    <s v="ORD-0014"/>
    <x v="13"/>
    <x v="7"/>
    <s v="Q1"/>
    <x v="0"/>
    <x v="0"/>
    <s v="Folders"/>
    <s v="David Lee"/>
    <n v="5.86"/>
    <n v="25"/>
    <x v="13"/>
    <n v="0"/>
    <n v="146.5"/>
    <n v="85.66"/>
    <n v="60.84"/>
    <x v="13"/>
  </r>
  <r>
    <s v="ORD-0015"/>
    <x v="14"/>
    <x v="9"/>
    <s v="Q3"/>
    <x v="1"/>
    <x v="4"/>
    <s v="T-Shirt"/>
    <s v="Bob Martinez"/>
    <n v="20.47"/>
    <n v="29"/>
    <x v="14"/>
    <n v="0.05"/>
    <n v="593.33318500000007"/>
    <n v="302.64"/>
    <n v="290.69318500000008"/>
    <x v="14"/>
  </r>
  <r>
    <s v="ORD-0016"/>
    <x v="15"/>
    <x v="10"/>
    <s v="Q2"/>
    <x v="0"/>
    <x v="3"/>
    <s v="Headphones"/>
    <s v="Bob Martinez"/>
    <n v="69.45"/>
    <n v="18"/>
    <x v="15"/>
    <n v="0"/>
    <n v="1250.1000000000001"/>
    <n v="602.66999999999996"/>
    <n v="647.43000000000018"/>
    <x v="15"/>
  </r>
  <r>
    <s v="ORD-0017"/>
    <x v="16"/>
    <x v="8"/>
    <s v="Q3"/>
    <x v="2"/>
    <x v="0"/>
    <s v="Folders"/>
    <s v="Grace Kim"/>
    <n v="8.2899999999999991"/>
    <n v="30"/>
    <x v="16"/>
    <n v="0.05"/>
    <n v="248.57565"/>
    <n v="156.30000000000001"/>
    <n v="92.275649999999985"/>
    <x v="16"/>
  </r>
  <r>
    <s v="ORD-0018"/>
    <x v="17"/>
    <x v="3"/>
    <s v="Q3"/>
    <x v="1"/>
    <x v="4"/>
    <s v="Hat"/>
    <s v="Henry Brown"/>
    <n v="17.29"/>
    <n v="8"/>
    <x v="17"/>
    <n v="0"/>
    <n v="138.32"/>
    <n v="73.930000000000007"/>
    <n v="64.389999999999986"/>
    <x v="17"/>
  </r>
  <r>
    <s v="ORD-0019"/>
    <x v="18"/>
    <x v="2"/>
    <s v="Q4"/>
    <x v="2"/>
    <x v="2"/>
    <s v="Dumbbells"/>
    <s v="Alice Johnson"/>
    <n v="37.42"/>
    <n v="21"/>
    <x v="18"/>
    <n v="0"/>
    <n v="785.82"/>
    <n v="398.59"/>
    <n v="387.23000000000008"/>
    <x v="18"/>
  </r>
  <r>
    <s v="ORD-0020"/>
    <x v="10"/>
    <x v="1"/>
    <s v="Q1"/>
    <x v="1"/>
    <x v="3"/>
    <s v="Webcam"/>
    <s v="David Lee"/>
    <n v="41.57"/>
    <n v="16"/>
    <x v="19"/>
    <n v="0.05"/>
    <n v="664.78744000000006"/>
    <n v="388.96"/>
    <n v="275.82744000000008"/>
    <x v="19"/>
  </r>
  <r>
    <s v="ORD-0021"/>
    <x v="19"/>
    <x v="11"/>
    <s v="Q4"/>
    <x v="3"/>
    <x v="1"/>
    <s v="Cabinet"/>
    <s v="Grace Kim"/>
    <n v="199.04"/>
    <n v="4"/>
    <x v="20"/>
    <n v="0.15"/>
    <n v="794.96576000000005"/>
    <n v="428.79"/>
    <n v="366.17576000000003"/>
    <x v="20"/>
  </r>
  <r>
    <s v="ORD-0022"/>
    <x v="20"/>
    <x v="3"/>
    <s v="Q3"/>
    <x v="0"/>
    <x v="3"/>
    <s v="Laptop"/>
    <s v="Grace Kim"/>
    <n v="252.82"/>
    <n v="26"/>
    <x v="21"/>
    <n v="0"/>
    <n v="6573.32"/>
    <n v="3366.64"/>
    <n v="3206.68"/>
    <x v="21"/>
  </r>
  <r>
    <s v="ORD-0023"/>
    <x v="21"/>
    <x v="10"/>
    <s v="Q2"/>
    <x v="3"/>
    <x v="1"/>
    <s v="Cabinet"/>
    <s v="Carol White"/>
    <n v="207.85"/>
    <n v="8"/>
    <x v="22"/>
    <n v="0"/>
    <n v="1662.8"/>
    <n v="932.49"/>
    <n v="730.31"/>
    <x v="22"/>
  </r>
  <r>
    <s v="ORD-0024"/>
    <x v="22"/>
    <x v="9"/>
    <s v="Q3"/>
    <x v="0"/>
    <x v="2"/>
    <s v="Yoga Mat"/>
    <s v="Bob Martinez"/>
    <n v="34.08"/>
    <n v="28"/>
    <x v="23"/>
    <n v="0.05"/>
    <n v="953.76288000000011"/>
    <n v="469.08"/>
    <n v="484.68288000000013"/>
    <x v="23"/>
  </r>
  <r>
    <s v="ORD-0025"/>
    <x v="23"/>
    <x v="8"/>
    <s v="Q3"/>
    <x v="2"/>
    <x v="4"/>
    <s v="T-Shirt"/>
    <s v="Carol White"/>
    <n v="16.34"/>
    <n v="13"/>
    <x v="24"/>
    <n v="0.05"/>
    <n v="212.31379000000001"/>
    <n v="144.81"/>
    <n v="67.503790000000009"/>
    <x v="24"/>
  </r>
  <r>
    <s v="ORD-0026"/>
    <x v="24"/>
    <x v="8"/>
    <s v="Q3"/>
    <x v="3"/>
    <x v="2"/>
    <s v="Jump Rope"/>
    <s v="Carol White"/>
    <n v="9.9499999999999993"/>
    <n v="7"/>
    <x v="25"/>
    <n v="0"/>
    <n v="69.649999999999991"/>
    <n v="41.43"/>
    <n v="28.219999999999992"/>
    <x v="25"/>
  </r>
  <r>
    <s v="ORD-0027"/>
    <x v="25"/>
    <x v="9"/>
    <s v="Q3"/>
    <x v="1"/>
    <x v="3"/>
    <s v="Laptop"/>
    <s v="Henry Brown"/>
    <n v="230.29"/>
    <n v="28"/>
    <x v="26"/>
    <n v="0"/>
    <n v="6448.12"/>
    <n v="2993.28"/>
    <n v="3454.8399999999997"/>
    <x v="26"/>
  </r>
  <r>
    <s v="ORD-0028"/>
    <x v="26"/>
    <x v="9"/>
    <s v="Q3"/>
    <x v="2"/>
    <x v="3"/>
    <s v="Webcam"/>
    <s v="Bob Martinez"/>
    <n v="49.5"/>
    <n v="8"/>
    <x v="27"/>
    <n v="0.15"/>
    <n v="395.40600000000001"/>
    <n v="190.09"/>
    <n v="205.316"/>
    <x v="27"/>
  </r>
  <r>
    <s v="ORD-0029"/>
    <x v="27"/>
    <x v="2"/>
    <s v="Q4"/>
    <x v="0"/>
    <x v="2"/>
    <s v="Yoga Mat"/>
    <s v="Grace Kim"/>
    <n v="30.72"/>
    <n v="19"/>
    <x v="28"/>
    <n v="0.1"/>
    <n v="583.09631999999999"/>
    <n v="399.01"/>
    <n v="184.08632"/>
    <x v="28"/>
  </r>
  <r>
    <s v="ORD-0030"/>
    <x v="28"/>
    <x v="10"/>
    <s v="Q2"/>
    <x v="1"/>
    <x v="1"/>
    <s v="Bookshelf"/>
    <s v="Grace Kim"/>
    <n v="86.89"/>
    <n v="21"/>
    <x v="29"/>
    <n v="0.05"/>
    <n v="1823.7776550000001"/>
    <n v="1029.68"/>
    <n v="794.09765500000003"/>
    <x v="29"/>
  </r>
  <r>
    <s v="ORD-0031"/>
    <x v="29"/>
    <x v="4"/>
    <s v="Q1"/>
    <x v="3"/>
    <x v="2"/>
    <s v="Water Bottle"/>
    <s v="Bob Martinez"/>
    <n v="11.24"/>
    <n v="7"/>
    <x v="30"/>
    <n v="0.05"/>
    <n v="78.640660000000011"/>
    <n v="38.01"/>
    <n v="40.630660000000013"/>
    <x v="30"/>
  </r>
  <r>
    <s v="ORD-0032"/>
    <x v="30"/>
    <x v="5"/>
    <s v="Q2"/>
    <x v="2"/>
    <x v="0"/>
    <s v="Stapler"/>
    <s v="Carol White"/>
    <n v="13.43"/>
    <n v="18"/>
    <x v="31"/>
    <n v="0.05"/>
    <n v="241.61913000000001"/>
    <n v="145.74"/>
    <n v="95.879130000000004"/>
    <x v="31"/>
  </r>
  <r>
    <s v="ORD-0033"/>
    <x v="31"/>
    <x v="0"/>
    <s v="Q4"/>
    <x v="0"/>
    <x v="2"/>
    <s v="Tennis Racket"/>
    <s v="Bob Martinez"/>
    <n v="75.319999999999993"/>
    <n v="5"/>
    <x v="32"/>
    <n v="0.05"/>
    <n v="376.4117"/>
    <n v="180.34"/>
    <n v="196.07169999999999"/>
    <x v="32"/>
  </r>
  <r>
    <s v="ORD-0034"/>
    <x v="32"/>
    <x v="4"/>
    <s v="Q1"/>
    <x v="2"/>
    <x v="0"/>
    <s v="Stapler"/>
    <s v="David Lee"/>
    <n v="15.11"/>
    <n v="7"/>
    <x v="33"/>
    <n v="0.05"/>
    <n v="105.71711500000001"/>
    <n v="60.94"/>
    <n v="44.777115000000009"/>
    <x v="33"/>
  </r>
  <r>
    <s v="ORD-0035"/>
    <x v="33"/>
    <x v="6"/>
    <s v="Q2"/>
    <x v="0"/>
    <x v="3"/>
    <s v="Headphones"/>
    <s v="Emma Davis"/>
    <n v="46.1"/>
    <n v="11"/>
    <x v="34"/>
    <n v="0"/>
    <n v="507.1"/>
    <n v="308.98"/>
    <n v="198.12"/>
    <x v="34"/>
  </r>
  <r>
    <s v="ORD-0036"/>
    <x v="34"/>
    <x v="6"/>
    <s v="Q2"/>
    <x v="3"/>
    <x v="2"/>
    <s v="Jump Rope"/>
    <s v="Alice Johnson"/>
    <n v="9.56"/>
    <n v="29"/>
    <x v="35"/>
    <n v="0"/>
    <n v="277.24"/>
    <n v="162.56"/>
    <n v="114.68"/>
    <x v="35"/>
  </r>
  <r>
    <s v="ORD-0037"/>
    <x v="35"/>
    <x v="5"/>
    <s v="Q2"/>
    <x v="2"/>
    <x v="4"/>
    <s v="Jacket"/>
    <s v="Alice Johnson"/>
    <n v="63.25"/>
    <n v="29"/>
    <x v="36"/>
    <n v="0"/>
    <n v="1834.25"/>
    <n v="1237.58"/>
    <n v="596.67000000000007"/>
    <x v="36"/>
  </r>
  <r>
    <s v="ORD-0038"/>
    <x v="28"/>
    <x v="10"/>
    <s v="Q2"/>
    <x v="2"/>
    <x v="3"/>
    <s v="Keyboard"/>
    <s v="Grace Kim"/>
    <n v="41.61"/>
    <n v="24"/>
    <x v="37"/>
    <n v="0"/>
    <n v="998.64"/>
    <n v="680.47"/>
    <n v="318.16999999999996"/>
    <x v="37"/>
  </r>
  <r>
    <s v="ORD-0039"/>
    <x v="36"/>
    <x v="10"/>
    <s v="Q2"/>
    <x v="2"/>
    <x v="1"/>
    <s v="Cabinet"/>
    <s v="Alice Johnson"/>
    <n v="197.94"/>
    <n v="30"/>
    <x v="38"/>
    <n v="0.1"/>
    <n v="5932.2618000000002"/>
    <n v="3833.61"/>
    <n v="2098.6518000000001"/>
    <x v="38"/>
  </r>
  <r>
    <s v="ORD-0040"/>
    <x v="37"/>
    <x v="3"/>
    <s v="Q3"/>
    <x v="2"/>
    <x v="0"/>
    <s v="Pens Set"/>
    <s v="Bob Martinez"/>
    <n v="5.46"/>
    <n v="2"/>
    <x v="39"/>
    <n v="0.2"/>
    <n v="10.898160000000001"/>
    <n v="5.52"/>
    <n v="5.3781600000000012"/>
    <x v="39"/>
  </r>
  <r>
    <s v="ORD-0041"/>
    <x v="38"/>
    <x v="8"/>
    <s v="Q3"/>
    <x v="1"/>
    <x v="1"/>
    <s v="Chair"/>
    <s v="Alice Johnson"/>
    <n v="184.5"/>
    <n v="13"/>
    <x v="40"/>
    <n v="0.1"/>
    <n v="2396.1015000000002"/>
    <n v="1246.4000000000001"/>
    <n v="1149.7015000000001"/>
    <x v="40"/>
  </r>
  <r>
    <s v="ORD-0042"/>
    <x v="39"/>
    <x v="4"/>
    <s v="Q1"/>
    <x v="1"/>
    <x v="0"/>
    <s v="Folders"/>
    <s v="Grace Kim"/>
    <n v="7.44"/>
    <n v="27"/>
    <x v="41"/>
    <n v="0.1"/>
    <n v="200.67912000000001"/>
    <n v="137.54"/>
    <n v="63.13912000000002"/>
    <x v="41"/>
  </r>
  <r>
    <s v="ORD-0043"/>
    <x v="40"/>
    <x v="4"/>
    <s v="Q1"/>
    <x v="2"/>
    <x v="2"/>
    <s v="Tennis Racket"/>
    <s v="Alice Johnson"/>
    <n v="52.48"/>
    <n v="14"/>
    <x v="42"/>
    <n v="0.1"/>
    <n v="733.98527999999988"/>
    <n v="464.45"/>
    <n v="269.53527999999989"/>
    <x v="42"/>
  </r>
  <r>
    <s v="ORD-0044"/>
    <x v="41"/>
    <x v="5"/>
    <s v="Q2"/>
    <x v="0"/>
    <x v="4"/>
    <s v="Hat"/>
    <s v="David Lee"/>
    <n v="18.489999999999998"/>
    <n v="23"/>
    <x v="43"/>
    <n v="0.15"/>
    <n v="424.63209499999999"/>
    <n v="191.58"/>
    <n v="233.05209499999998"/>
    <x v="43"/>
  </r>
  <r>
    <s v="ORD-0045"/>
    <x v="42"/>
    <x v="9"/>
    <s v="Q3"/>
    <x v="2"/>
    <x v="0"/>
    <s v="Printer Paper"/>
    <s v="Bob Martinez"/>
    <n v="27.49"/>
    <n v="30"/>
    <x v="44"/>
    <n v="0.1"/>
    <n v="823.87529999999992"/>
    <n v="499.57"/>
    <n v="324.30529999999993"/>
    <x v="44"/>
  </r>
  <r>
    <s v="ORD-0046"/>
    <x v="43"/>
    <x v="0"/>
    <s v="Q4"/>
    <x v="0"/>
    <x v="0"/>
    <s v="Folders"/>
    <s v="Emma Davis"/>
    <n v="7.4"/>
    <n v="11"/>
    <x v="45"/>
    <n v="0.15"/>
    <n v="81.277900000000017"/>
    <n v="50.82"/>
    <n v="30.457900000000016"/>
    <x v="45"/>
  </r>
  <r>
    <s v="ORD-0047"/>
    <x v="44"/>
    <x v="9"/>
    <s v="Q3"/>
    <x v="2"/>
    <x v="4"/>
    <s v="Shoes"/>
    <s v="Carol White"/>
    <n v="84.54"/>
    <n v="10"/>
    <x v="46"/>
    <n v="0.15"/>
    <n v="844.13190000000009"/>
    <n v="496.25"/>
    <n v="347.88190000000009"/>
    <x v="46"/>
  </r>
  <r>
    <s v="ORD-0048"/>
    <x v="45"/>
    <x v="1"/>
    <s v="Q1"/>
    <x v="1"/>
    <x v="1"/>
    <s v="Cabinet"/>
    <s v="Frank Wilson"/>
    <n v="226.5"/>
    <n v="15"/>
    <x v="47"/>
    <n v="0.05"/>
    <n v="3395.80125"/>
    <n v="1963.04"/>
    <n v="1432.76125"/>
    <x v="47"/>
  </r>
  <r>
    <s v="ORD-0049"/>
    <x v="46"/>
    <x v="11"/>
    <s v="Q4"/>
    <x v="0"/>
    <x v="0"/>
    <s v="Folders"/>
    <s v="Frank Wilson"/>
    <n v="5.68"/>
    <n v="25"/>
    <x v="48"/>
    <n v="0.05"/>
    <n v="141.929"/>
    <n v="87.79"/>
    <n v="54.138999999999996"/>
    <x v="48"/>
  </r>
  <r>
    <s v="ORD-0050"/>
    <x v="47"/>
    <x v="10"/>
    <s v="Q2"/>
    <x v="2"/>
    <x v="1"/>
    <s v="Desk"/>
    <s v="Alice Johnson"/>
    <n v="184.04"/>
    <n v="16"/>
    <x v="49"/>
    <n v="0"/>
    <n v="2944.64"/>
    <n v="1660.31"/>
    <n v="1284.33"/>
    <x v="49"/>
  </r>
  <r>
    <s v="ORD-0051"/>
    <x v="48"/>
    <x v="0"/>
    <s v="Q4"/>
    <x v="2"/>
    <x v="4"/>
    <s v="Shoes"/>
    <s v="Grace Kim"/>
    <n v="71.540000000000006"/>
    <n v="21"/>
    <x v="50"/>
    <n v="0"/>
    <n v="1502.3400000000001"/>
    <n v="1011.31"/>
    <n v="491.0300000000002"/>
    <x v="50"/>
  </r>
  <r>
    <s v="ORD-0052"/>
    <x v="39"/>
    <x v="4"/>
    <s v="Q1"/>
    <x v="3"/>
    <x v="1"/>
    <s v="Chair"/>
    <s v="Henry Brown"/>
    <n v="138.77000000000001"/>
    <n v="8"/>
    <x v="51"/>
    <n v="0"/>
    <n v="1110.1600000000001"/>
    <n v="626.24"/>
    <n v="483.92000000000007"/>
    <x v="51"/>
  </r>
  <r>
    <s v="ORD-0053"/>
    <x v="49"/>
    <x v="8"/>
    <s v="Q3"/>
    <x v="1"/>
    <x v="4"/>
    <s v="Hat"/>
    <s v="Grace Kim"/>
    <n v="23.68"/>
    <n v="18"/>
    <x v="52"/>
    <n v="0.2"/>
    <n v="425.38751999999999"/>
    <n v="287.36"/>
    <n v="138.02751999999998"/>
    <x v="52"/>
  </r>
  <r>
    <s v="ORD-0054"/>
    <x v="50"/>
    <x v="11"/>
    <s v="Q4"/>
    <x v="3"/>
    <x v="4"/>
    <s v="Trousers"/>
    <s v="David Lee"/>
    <n v="59.4"/>
    <n v="9"/>
    <x v="53"/>
    <n v="0.2"/>
    <n v="533.5308"/>
    <n v="324.32"/>
    <n v="209.21080000000001"/>
    <x v="53"/>
  </r>
  <r>
    <s v="ORD-0055"/>
    <x v="51"/>
    <x v="6"/>
    <s v="Q2"/>
    <x v="0"/>
    <x v="0"/>
    <s v="Pens Set"/>
    <s v="Emma Davis"/>
    <n v="5.34"/>
    <n v="29"/>
    <x v="54"/>
    <n v="0"/>
    <n v="154.85999999999999"/>
    <n v="75.040000000000006"/>
    <n v="79.819999999999979"/>
    <x v="54"/>
  </r>
  <r>
    <s v="ORD-0056"/>
    <x v="52"/>
    <x v="10"/>
    <s v="Q2"/>
    <x v="2"/>
    <x v="1"/>
    <s v="Desk"/>
    <s v="Grace Kim"/>
    <n v="198.68"/>
    <n v="18"/>
    <x v="55"/>
    <n v="0.2"/>
    <n v="3569.08752"/>
    <n v="1981.07"/>
    <n v="1588.0175200000001"/>
    <x v="55"/>
  </r>
  <r>
    <s v="ORD-0057"/>
    <x v="53"/>
    <x v="10"/>
    <s v="Q2"/>
    <x v="3"/>
    <x v="4"/>
    <s v="Hat"/>
    <s v="Alice Johnson"/>
    <n v="23.91"/>
    <n v="25"/>
    <x v="56"/>
    <n v="0.15"/>
    <n v="596.85337500000003"/>
    <n v="340.27"/>
    <n v="256.58337500000005"/>
    <x v="56"/>
  </r>
  <r>
    <s v="ORD-0058"/>
    <x v="54"/>
    <x v="5"/>
    <s v="Q2"/>
    <x v="3"/>
    <x v="4"/>
    <s v="Hat"/>
    <s v="David Lee"/>
    <n v="20.59"/>
    <n v="9"/>
    <x v="57"/>
    <n v="0.15"/>
    <n v="185.03203500000001"/>
    <n v="105.91"/>
    <n v="79.122035000000011"/>
    <x v="57"/>
  </r>
  <r>
    <s v="ORD-0059"/>
    <x v="55"/>
    <x v="3"/>
    <s v="Q3"/>
    <x v="3"/>
    <x v="1"/>
    <s v="Cabinet"/>
    <s v="Carol White"/>
    <n v="278.07"/>
    <n v="18"/>
    <x v="58"/>
    <n v="0"/>
    <n v="5005.26"/>
    <n v="3387.25"/>
    <n v="1618.0100000000002"/>
    <x v="58"/>
  </r>
  <r>
    <s v="ORD-0060"/>
    <x v="56"/>
    <x v="2"/>
    <s v="Q4"/>
    <x v="0"/>
    <x v="3"/>
    <s v="Headphones"/>
    <s v="Carol White"/>
    <n v="66.67"/>
    <n v="6"/>
    <x v="59"/>
    <n v="0"/>
    <n v="400.02"/>
    <n v="206.03"/>
    <n v="193.98999999999998"/>
    <x v="59"/>
  </r>
  <r>
    <s v="ORD-0061"/>
    <x v="6"/>
    <x v="5"/>
    <s v="Q2"/>
    <x v="3"/>
    <x v="0"/>
    <s v="Stapler"/>
    <s v="Grace Kim"/>
    <n v="12.47"/>
    <n v="27"/>
    <x v="60"/>
    <n v="0.15"/>
    <n v="336.18496500000003"/>
    <n v="172.74"/>
    <n v="163.44496500000002"/>
    <x v="60"/>
  </r>
  <r>
    <s v="ORD-0062"/>
    <x v="57"/>
    <x v="4"/>
    <s v="Q1"/>
    <x v="0"/>
    <x v="2"/>
    <s v="Yoga Mat"/>
    <s v="Frank Wilson"/>
    <n v="25.3"/>
    <n v="3"/>
    <x v="61"/>
    <n v="0"/>
    <n v="75.900000000000006"/>
    <n v="48.47"/>
    <n v="27.430000000000007"/>
    <x v="61"/>
  </r>
  <r>
    <s v="ORD-0063"/>
    <x v="58"/>
    <x v="10"/>
    <s v="Q2"/>
    <x v="0"/>
    <x v="2"/>
    <s v="Dumbbells"/>
    <s v="David Lee"/>
    <n v="38.520000000000003"/>
    <n v="22"/>
    <x v="62"/>
    <n v="0"/>
    <n v="847.44"/>
    <n v="500.89"/>
    <n v="346.55000000000007"/>
    <x v="62"/>
  </r>
  <r>
    <s v="ORD-0064"/>
    <x v="59"/>
    <x v="10"/>
    <s v="Q2"/>
    <x v="1"/>
    <x v="0"/>
    <s v="Pens Set"/>
    <s v="Bob Martinez"/>
    <n v="6.44"/>
    <n v="6"/>
    <x v="63"/>
    <n v="0.05"/>
    <n v="38.62068"/>
    <n v="18.45"/>
    <n v="20.170680000000001"/>
    <x v="63"/>
  </r>
  <r>
    <s v="ORD-0065"/>
    <x v="45"/>
    <x v="1"/>
    <s v="Q1"/>
    <x v="3"/>
    <x v="4"/>
    <s v="Jacket"/>
    <s v="Bob Martinez"/>
    <n v="71.760000000000005"/>
    <n v="27"/>
    <x v="64"/>
    <n v="0.05"/>
    <n v="1936.5512400000002"/>
    <n v="921.28"/>
    <n v="1015.2712400000003"/>
    <x v="64"/>
  </r>
  <r>
    <s v="ORD-0066"/>
    <x v="33"/>
    <x v="6"/>
    <s v="Q2"/>
    <x v="0"/>
    <x v="2"/>
    <s v="Yoga Mat"/>
    <s v="Frank Wilson"/>
    <n v="29.16"/>
    <n v="22"/>
    <x v="65"/>
    <n v="0.1"/>
    <n v="640.87847999999997"/>
    <n v="299.74"/>
    <n v="341.13847999999996"/>
    <x v="65"/>
  </r>
  <r>
    <s v="ORD-0067"/>
    <x v="60"/>
    <x v="0"/>
    <s v="Q4"/>
    <x v="0"/>
    <x v="4"/>
    <s v="Shoes"/>
    <s v="Bob Martinez"/>
    <n v="78.17"/>
    <n v="12"/>
    <x v="66"/>
    <n v="0.2"/>
    <n v="936.16391999999996"/>
    <n v="588.01"/>
    <n v="348.15391999999997"/>
    <x v="66"/>
  </r>
  <r>
    <s v="ORD-0068"/>
    <x v="61"/>
    <x v="3"/>
    <s v="Q3"/>
    <x v="1"/>
    <x v="2"/>
    <s v="Water Bottle"/>
    <s v="Henry Brown"/>
    <n v="13.59"/>
    <n v="27"/>
    <x v="67"/>
    <n v="0.05"/>
    <n v="366.74653500000005"/>
    <n v="194.67"/>
    <n v="172.07653500000006"/>
    <x v="67"/>
  </r>
  <r>
    <s v="ORD-0069"/>
    <x v="53"/>
    <x v="10"/>
    <s v="Q2"/>
    <x v="0"/>
    <x v="0"/>
    <s v="Printer Paper"/>
    <s v="David Lee"/>
    <n v="25.5"/>
    <n v="19"/>
    <x v="68"/>
    <n v="0.15"/>
    <n v="483.77325000000002"/>
    <n v="258.82"/>
    <n v="224.95325000000003"/>
    <x v="68"/>
  </r>
  <r>
    <s v="ORD-0070"/>
    <x v="62"/>
    <x v="8"/>
    <s v="Q3"/>
    <x v="1"/>
    <x v="1"/>
    <s v="Cabinet"/>
    <s v="David Lee"/>
    <n v="215.48"/>
    <n v="9"/>
    <x v="69"/>
    <n v="0.1"/>
    <n v="1937.38068"/>
    <n v="1008.29"/>
    <n v="929.09068000000002"/>
    <x v="69"/>
  </r>
  <r>
    <s v="ORD-0071"/>
    <x v="63"/>
    <x v="2"/>
    <s v="Q4"/>
    <x v="1"/>
    <x v="2"/>
    <s v="Yoga Mat"/>
    <s v="David Lee"/>
    <n v="23.57"/>
    <n v="24"/>
    <x v="70"/>
    <n v="0.15"/>
    <n v="564.83148000000006"/>
    <n v="323.64999999999998"/>
    <n v="241.18148000000008"/>
    <x v="70"/>
  </r>
  <r>
    <s v="ORD-0072"/>
    <x v="64"/>
    <x v="10"/>
    <s v="Q2"/>
    <x v="3"/>
    <x v="4"/>
    <s v="Shoes"/>
    <s v="Alice Johnson"/>
    <n v="66.260000000000005"/>
    <n v="8"/>
    <x v="71"/>
    <n v="0.15"/>
    <n v="529.28488000000004"/>
    <n v="330.2"/>
    <n v="199.08488000000006"/>
    <x v="71"/>
  </r>
  <r>
    <s v="ORD-0073"/>
    <x v="65"/>
    <x v="6"/>
    <s v="Q2"/>
    <x v="1"/>
    <x v="4"/>
    <s v="Hat"/>
    <s v="Frank Wilson"/>
    <n v="20.03"/>
    <n v="24"/>
    <x v="72"/>
    <n v="0.1"/>
    <n v="480.23928000000001"/>
    <n v="258.60000000000002"/>
    <n v="221.63927999999999"/>
    <x v="72"/>
  </r>
  <r>
    <s v="ORD-0074"/>
    <x v="66"/>
    <x v="8"/>
    <s v="Q3"/>
    <x v="1"/>
    <x v="0"/>
    <s v="Pens Set"/>
    <s v="Bob Martinez"/>
    <n v="6.3"/>
    <n v="11"/>
    <x v="73"/>
    <n v="0"/>
    <n v="69.3"/>
    <n v="44.08"/>
    <n v="25.22"/>
    <x v="73"/>
  </r>
  <r>
    <s v="ORD-0075"/>
    <x v="46"/>
    <x v="11"/>
    <s v="Q4"/>
    <x v="2"/>
    <x v="1"/>
    <s v="Cabinet"/>
    <s v="Emma Davis"/>
    <n v="252.46"/>
    <n v="25"/>
    <x v="74"/>
    <n v="0.05"/>
    <n v="6308.3442500000001"/>
    <n v="4387.2700000000004"/>
    <n v="1921.0742499999997"/>
    <x v="74"/>
  </r>
  <r>
    <s v="ORD-0076"/>
    <x v="67"/>
    <x v="10"/>
    <s v="Q2"/>
    <x v="2"/>
    <x v="0"/>
    <s v="Pens Set"/>
    <s v="Emma Davis"/>
    <n v="4.54"/>
    <n v="18"/>
    <x v="75"/>
    <n v="0"/>
    <n v="81.72"/>
    <n v="42.33"/>
    <n v="39.39"/>
    <x v="75"/>
  </r>
  <r>
    <s v="ORD-0077"/>
    <x v="68"/>
    <x v="1"/>
    <s v="Q1"/>
    <x v="1"/>
    <x v="1"/>
    <s v="Cabinet"/>
    <s v="Bob Martinez"/>
    <n v="267.27"/>
    <n v="19"/>
    <x v="76"/>
    <n v="0.05"/>
    <n v="5075.5909349999993"/>
    <n v="2881.09"/>
    <n v="2194.5009349999991"/>
    <x v="76"/>
  </r>
  <r>
    <s v="ORD-0078"/>
    <x v="69"/>
    <x v="8"/>
    <s v="Q3"/>
    <x v="2"/>
    <x v="3"/>
    <s v="Keyboard"/>
    <s v="Henry Brown"/>
    <n v="28.71"/>
    <n v="3"/>
    <x v="77"/>
    <n v="0.15"/>
    <n v="86.000805"/>
    <n v="49.35"/>
    <n v="36.650804999999998"/>
    <x v="77"/>
  </r>
  <r>
    <s v="ORD-0079"/>
    <x v="70"/>
    <x v="2"/>
    <s v="Q4"/>
    <x v="0"/>
    <x v="1"/>
    <s v="Chair"/>
    <s v="Emma Davis"/>
    <n v="141.38999999999999"/>
    <n v="8"/>
    <x v="78"/>
    <n v="0"/>
    <n v="1131.1199999999999"/>
    <n v="666.81"/>
    <n v="464.30999999999995"/>
    <x v="78"/>
  </r>
  <r>
    <s v="ORD-0080"/>
    <x v="71"/>
    <x v="3"/>
    <s v="Q3"/>
    <x v="2"/>
    <x v="2"/>
    <s v="Jump Rope"/>
    <s v="Henry Brown"/>
    <n v="13.54"/>
    <n v="10"/>
    <x v="79"/>
    <n v="0.15"/>
    <n v="135.19689999999997"/>
    <n v="71.28"/>
    <n v="63.91689999999997"/>
    <x v="79"/>
  </r>
  <r>
    <s v="ORD-0081"/>
    <x v="72"/>
    <x v="2"/>
    <s v="Q4"/>
    <x v="0"/>
    <x v="1"/>
    <s v="Chair"/>
    <s v="Emma Davis"/>
    <n v="184.53"/>
    <n v="6"/>
    <x v="80"/>
    <n v="0.05"/>
    <n v="1106.6264100000001"/>
    <n v="546.35"/>
    <n v="560.27641000000006"/>
    <x v="80"/>
  </r>
  <r>
    <s v="ORD-0082"/>
    <x v="73"/>
    <x v="4"/>
    <s v="Q1"/>
    <x v="0"/>
    <x v="4"/>
    <s v="Shoes"/>
    <s v="Henry Brown"/>
    <n v="73.19"/>
    <n v="8"/>
    <x v="81"/>
    <n v="0.05"/>
    <n v="585.22724000000005"/>
    <n v="366.99"/>
    <n v="218.23724000000004"/>
    <x v="81"/>
  </r>
  <r>
    <s v="ORD-0083"/>
    <x v="50"/>
    <x v="11"/>
    <s v="Q4"/>
    <x v="3"/>
    <x v="3"/>
    <s v="Monitor"/>
    <s v="Emma Davis"/>
    <n v="155.27000000000001"/>
    <n v="21"/>
    <x v="82"/>
    <n v="0.05"/>
    <n v="3259.0396650000002"/>
    <n v="1813.86"/>
    <n v="1445.1796650000003"/>
    <x v="82"/>
  </r>
  <r>
    <s v="ORD-0084"/>
    <x v="74"/>
    <x v="9"/>
    <s v="Q3"/>
    <x v="2"/>
    <x v="0"/>
    <s v="Pens Set"/>
    <s v="Bob Martinez"/>
    <n v="4.6500000000000004"/>
    <n v="26"/>
    <x v="83"/>
    <n v="0.05"/>
    <n v="120.83955000000002"/>
    <n v="72.38"/>
    <n v="48.459550000000021"/>
    <x v="83"/>
  </r>
  <r>
    <s v="ORD-0085"/>
    <x v="75"/>
    <x v="2"/>
    <s v="Q4"/>
    <x v="3"/>
    <x v="3"/>
    <s v="Headphones"/>
    <s v="Emma Davis"/>
    <n v="62.49"/>
    <n v="9"/>
    <x v="84"/>
    <n v="0.2"/>
    <n v="561.28517999999997"/>
    <n v="314.64999999999998"/>
    <n v="246.63517999999999"/>
    <x v="84"/>
  </r>
  <r>
    <s v="ORD-0086"/>
    <x v="72"/>
    <x v="2"/>
    <s v="Q4"/>
    <x v="3"/>
    <x v="0"/>
    <s v="Folders"/>
    <s v="Emma Davis"/>
    <n v="5.48"/>
    <n v="8"/>
    <x v="85"/>
    <n v="0"/>
    <n v="43.84"/>
    <n v="30.67"/>
    <n v="13.170000000000002"/>
    <x v="85"/>
  </r>
  <r>
    <s v="ORD-0087"/>
    <x v="76"/>
    <x v="0"/>
    <s v="Q4"/>
    <x v="1"/>
    <x v="2"/>
    <s v="Yoga Mat"/>
    <s v="Carol White"/>
    <n v="28.38"/>
    <n v="21"/>
    <x v="86"/>
    <n v="0.2"/>
    <n v="594.78804000000002"/>
    <n v="404.7"/>
    <n v="190.08804000000003"/>
    <x v="86"/>
  </r>
  <r>
    <s v="ORD-0088"/>
    <x v="77"/>
    <x v="7"/>
    <s v="Q1"/>
    <x v="3"/>
    <x v="4"/>
    <s v="T-Shirt"/>
    <s v="Henry Brown"/>
    <n v="16.11"/>
    <n v="11"/>
    <x v="87"/>
    <n v="0.1"/>
    <n v="177.03278999999998"/>
    <n v="109.43"/>
    <n v="67.60278999999997"/>
    <x v="87"/>
  </r>
  <r>
    <s v="ORD-0089"/>
    <x v="78"/>
    <x v="7"/>
    <s v="Q1"/>
    <x v="3"/>
    <x v="4"/>
    <s v="Trousers"/>
    <s v="Grace Kim"/>
    <n v="58.81"/>
    <n v="18"/>
    <x v="88"/>
    <n v="0"/>
    <n v="1058.58"/>
    <n v="596.67999999999995"/>
    <n v="461.9"/>
    <x v="88"/>
  </r>
  <r>
    <s v="ORD-0090"/>
    <x v="79"/>
    <x v="5"/>
    <s v="Q2"/>
    <x v="1"/>
    <x v="3"/>
    <s v="Headphones"/>
    <s v="Alice Johnson"/>
    <n v="61.44"/>
    <n v="18"/>
    <x v="89"/>
    <n v="0.2"/>
    <n v="1103.7081600000001"/>
    <n v="611.92999999999995"/>
    <n v="491.77816000000018"/>
    <x v="89"/>
  </r>
  <r>
    <s v="ORD-0091"/>
    <x v="80"/>
    <x v="10"/>
    <s v="Q2"/>
    <x v="1"/>
    <x v="2"/>
    <s v="Jump Rope"/>
    <s v="Henry Brown"/>
    <n v="12.8"/>
    <n v="7"/>
    <x v="90"/>
    <n v="0.05"/>
    <n v="89.555200000000013"/>
    <n v="52.62"/>
    <n v="36.935200000000016"/>
    <x v="90"/>
  </r>
  <r>
    <s v="ORD-0092"/>
    <x v="51"/>
    <x v="6"/>
    <s v="Q2"/>
    <x v="3"/>
    <x v="3"/>
    <s v="Laptop"/>
    <s v="David Lee"/>
    <n v="250.98"/>
    <n v="10"/>
    <x v="91"/>
    <n v="0"/>
    <n v="2509.7999999999997"/>
    <n v="1475.91"/>
    <n v="1033.8899999999996"/>
    <x v="91"/>
  </r>
  <r>
    <s v="ORD-0093"/>
    <x v="81"/>
    <x v="4"/>
    <s v="Q1"/>
    <x v="0"/>
    <x v="4"/>
    <s v="T-Shirt"/>
    <s v="Carol White"/>
    <n v="17.239999999999998"/>
    <n v="23"/>
    <x v="92"/>
    <n v="0.05"/>
    <n v="396.32173999999998"/>
    <n v="228.85"/>
    <n v="167.47173999999998"/>
    <x v="92"/>
  </r>
  <r>
    <s v="ORD-0094"/>
    <x v="82"/>
    <x v="6"/>
    <s v="Q2"/>
    <x v="3"/>
    <x v="4"/>
    <s v="Jacket"/>
    <s v="Henry Brown"/>
    <n v="70.540000000000006"/>
    <n v="13"/>
    <x v="93"/>
    <n v="0.05"/>
    <n v="916.56149000000016"/>
    <n v="623.98"/>
    <n v="292.58149000000014"/>
    <x v="93"/>
  </r>
  <r>
    <s v="ORD-0095"/>
    <x v="83"/>
    <x v="9"/>
    <s v="Q3"/>
    <x v="2"/>
    <x v="3"/>
    <s v="Keyboard"/>
    <s v="Grace Kim"/>
    <n v="32.1"/>
    <n v="26"/>
    <x v="94"/>
    <n v="0.05"/>
    <n v="834.18270000000007"/>
    <n v="546.75"/>
    <n v="287.43270000000007"/>
    <x v="94"/>
  </r>
  <r>
    <s v="ORD-0096"/>
    <x v="84"/>
    <x v="6"/>
    <s v="Q2"/>
    <x v="1"/>
    <x v="2"/>
    <s v="Water Bottle"/>
    <s v="Henry Brown"/>
    <n v="15.99"/>
    <n v="15"/>
    <x v="95"/>
    <n v="0.2"/>
    <n v="239.37029999999999"/>
    <n v="128.63999999999999"/>
    <n v="110.7303"/>
    <x v="95"/>
  </r>
  <r>
    <s v="ORD-0097"/>
    <x v="85"/>
    <x v="9"/>
    <s v="Q3"/>
    <x v="3"/>
    <x v="4"/>
    <s v="Trousers"/>
    <s v="David Lee"/>
    <n v="62.57"/>
    <n v="8"/>
    <x v="96"/>
    <n v="0.15"/>
    <n v="499.80916000000002"/>
    <n v="254.47"/>
    <n v="245.33916000000002"/>
    <x v="96"/>
  </r>
  <r>
    <s v="ORD-0098"/>
    <x v="86"/>
    <x v="3"/>
    <s v="Q3"/>
    <x v="1"/>
    <x v="4"/>
    <s v="Shoes"/>
    <s v="Grace Kim"/>
    <n v="97.59"/>
    <n v="26"/>
    <x v="97"/>
    <n v="0"/>
    <n v="2537.34"/>
    <n v="1456.07"/>
    <n v="1081.2700000000002"/>
    <x v="97"/>
  </r>
  <r>
    <s v="ORD-0099"/>
    <x v="87"/>
    <x v="1"/>
    <s v="Q1"/>
    <x v="1"/>
    <x v="3"/>
    <s v="Headphones"/>
    <s v="Bob Martinez"/>
    <n v="58.15"/>
    <n v="15"/>
    <x v="98"/>
    <n v="0"/>
    <n v="872.25"/>
    <n v="550.04"/>
    <n v="322.21000000000004"/>
    <x v="98"/>
  </r>
  <r>
    <s v="ORD-0100"/>
    <x v="88"/>
    <x v="3"/>
    <s v="Q3"/>
    <x v="2"/>
    <x v="3"/>
    <s v="Headphones"/>
    <s v="Emma Davis"/>
    <n v="53.46"/>
    <n v="23"/>
    <x v="99"/>
    <n v="0.15"/>
    <n v="1227.7356299999999"/>
    <n v="753.12"/>
    <n v="474.6156299999999"/>
    <x v="99"/>
  </r>
  <r>
    <s v="ORD-0101"/>
    <x v="89"/>
    <x v="5"/>
    <s v="Q2"/>
    <x v="3"/>
    <x v="0"/>
    <s v="Printer Paper"/>
    <s v="Alice Johnson"/>
    <n v="24.17"/>
    <n v="8"/>
    <x v="100"/>
    <n v="0.05"/>
    <n v="193.26332000000002"/>
    <n v="135.25"/>
    <n v="58.013320000000022"/>
    <x v="100"/>
  </r>
  <r>
    <s v="ORD-0102"/>
    <x v="90"/>
    <x v="11"/>
    <s v="Q4"/>
    <x v="3"/>
    <x v="3"/>
    <s v="Laptop"/>
    <s v="Henry Brown"/>
    <n v="196.64"/>
    <n v="10"/>
    <x v="101"/>
    <n v="0"/>
    <n v="1966.3999999999999"/>
    <n v="907.47"/>
    <n v="1058.9299999999998"/>
    <x v="101"/>
  </r>
  <r>
    <s v="ORD-0103"/>
    <x v="45"/>
    <x v="1"/>
    <s v="Q1"/>
    <x v="1"/>
    <x v="0"/>
    <s v="Printer Paper"/>
    <s v="Carol White"/>
    <n v="20.440000000000001"/>
    <n v="14"/>
    <x v="102"/>
    <n v="0"/>
    <n v="286.16000000000003"/>
    <n v="140.94999999999999"/>
    <n v="145.21000000000004"/>
    <x v="102"/>
  </r>
  <r>
    <s v="ORD-0104"/>
    <x v="91"/>
    <x v="4"/>
    <s v="Q1"/>
    <x v="3"/>
    <x v="2"/>
    <s v="Dumbbells"/>
    <s v="Henry Brown"/>
    <n v="54.26"/>
    <n v="5"/>
    <x v="103"/>
    <n v="0.05"/>
    <n v="271.16435000000001"/>
    <n v="153.35"/>
    <n v="117.81435000000002"/>
    <x v="103"/>
  </r>
  <r>
    <s v="ORD-0105"/>
    <x v="51"/>
    <x v="6"/>
    <s v="Q2"/>
    <x v="1"/>
    <x v="3"/>
    <s v="Headphones"/>
    <s v="Emma Davis"/>
    <n v="61.94"/>
    <n v="6"/>
    <x v="104"/>
    <n v="0"/>
    <n v="371.64"/>
    <n v="208.28"/>
    <n v="163.35999999999999"/>
    <x v="104"/>
  </r>
  <r>
    <s v="ORD-0106"/>
    <x v="35"/>
    <x v="5"/>
    <s v="Q2"/>
    <x v="1"/>
    <x v="4"/>
    <s v="Trousers"/>
    <s v="Henry Brown"/>
    <n v="59.52"/>
    <n v="7"/>
    <x v="105"/>
    <n v="0.15"/>
    <n v="416.01504000000006"/>
    <n v="276.37"/>
    <n v="139.64504000000005"/>
    <x v="105"/>
  </r>
  <r>
    <s v="ORD-0107"/>
    <x v="81"/>
    <x v="4"/>
    <s v="Q1"/>
    <x v="3"/>
    <x v="2"/>
    <s v="Tennis Racket"/>
    <s v="Emma Davis"/>
    <n v="76.8"/>
    <n v="10"/>
    <x v="106"/>
    <n v="0"/>
    <n v="768"/>
    <n v="533.36"/>
    <n v="234.64"/>
    <x v="106"/>
  </r>
  <r>
    <s v="ORD-0108"/>
    <x v="92"/>
    <x v="0"/>
    <s v="Q4"/>
    <x v="1"/>
    <x v="3"/>
    <s v="Webcam"/>
    <s v="Alice Johnson"/>
    <n v="54.21"/>
    <n v="24"/>
    <x v="107"/>
    <n v="0.2"/>
    <n v="1298.4379199999998"/>
    <n v="856.39"/>
    <n v="442.04791999999986"/>
    <x v="107"/>
  </r>
  <r>
    <s v="ORD-0109"/>
    <x v="93"/>
    <x v="6"/>
    <s v="Q2"/>
    <x v="2"/>
    <x v="2"/>
    <s v="Tennis Racket"/>
    <s v="David Lee"/>
    <n v="67.010000000000005"/>
    <n v="20"/>
    <x v="108"/>
    <n v="0.05"/>
    <n v="1339.5299000000002"/>
    <n v="830.14"/>
    <n v="509.38990000000024"/>
    <x v="108"/>
  </r>
  <r>
    <s v="ORD-0110"/>
    <x v="94"/>
    <x v="11"/>
    <s v="Q4"/>
    <x v="2"/>
    <x v="3"/>
    <s v="Laptop"/>
    <s v="Emma Davis"/>
    <n v="258.86"/>
    <n v="2"/>
    <x v="109"/>
    <n v="0.1"/>
    <n v="517.20227999999997"/>
    <n v="327.76"/>
    <n v="189.44227999999998"/>
    <x v="109"/>
  </r>
  <r>
    <s v="ORD-0111"/>
    <x v="95"/>
    <x v="4"/>
    <s v="Q1"/>
    <x v="1"/>
    <x v="4"/>
    <s v="Jacket"/>
    <s v="David Lee"/>
    <n v="57.96"/>
    <n v="18"/>
    <x v="110"/>
    <n v="0.1"/>
    <n v="1042.2367199999999"/>
    <n v="607.98"/>
    <n v="434.25671999999986"/>
    <x v="110"/>
  </r>
  <r>
    <s v="ORD-0112"/>
    <x v="96"/>
    <x v="6"/>
    <s v="Q2"/>
    <x v="2"/>
    <x v="0"/>
    <s v="Printer Paper"/>
    <s v="Emma Davis"/>
    <n v="25.47"/>
    <n v="11"/>
    <x v="111"/>
    <n v="0"/>
    <n v="280.16999999999996"/>
    <n v="158.85"/>
    <n v="121.31999999999996"/>
    <x v="111"/>
  </r>
  <r>
    <s v="ORD-0113"/>
    <x v="97"/>
    <x v="4"/>
    <s v="Q1"/>
    <x v="2"/>
    <x v="4"/>
    <s v="Hat"/>
    <s v="Frank Wilson"/>
    <n v="17.010000000000002"/>
    <n v="13"/>
    <x v="112"/>
    <n v="0"/>
    <n v="221.13000000000002"/>
    <n v="114.15"/>
    <n v="106.98000000000002"/>
    <x v="112"/>
  </r>
  <r>
    <s v="ORD-0114"/>
    <x v="98"/>
    <x v="4"/>
    <s v="Q1"/>
    <x v="1"/>
    <x v="0"/>
    <s v="Folders"/>
    <s v="Grace Kim"/>
    <n v="7.87"/>
    <n v="12"/>
    <x v="113"/>
    <n v="0"/>
    <n v="94.44"/>
    <n v="58.41"/>
    <n v="36.03"/>
    <x v="113"/>
  </r>
  <r>
    <s v="ORD-0115"/>
    <x v="99"/>
    <x v="8"/>
    <s v="Q3"/>
    <x v="1"/>
    <x v="2"/>
    <s v="Dumbbells"/>
    <s v="Bob Martinez"/>
    <n v="48.71"/>
    <n v="15"/>
    <x v="114"/>
    <n v="0.05"/>
    <n v="730.28467499999999"/>
    <n v="447.37"/>
    <n v="282.91467499999999"/>
    <x v="114"/>
  </r>
  <r>
    <s v="ORD-0116"/>
    <x v="97"/>
    <x v="4"/>
    <s v="Q1"/>
    <x v="0"/>
    <x v="3"/>
    <s v="Keyboard"/>
    <s v="Henry Brown"/>
    <n v="28.74"/>
    <n v="8"/>
    <x v="115"/>
    <n v="0"/>
    <n v="229.92"/>
    <n v="125.81"/>
    <n v="104.10999999999999"/>
    <x v="115"/>
  </r>
  <r>
    <s v="ORD-0117"/>
    <x v="100"/>
    <x v="5"/>
    <s v="Q2"/>
    <x v="3"/>
    <x v="2"/>
    <s v="Dumbbells"/>
    <s v="Grace Kim"/>
    <n v="49.1"/>
    <n v="27"/>
    <x v="116"/>
    <n v="0.2"/>
    <n v="1323.0486000000001"/>
    <n v="800.58"/>
    <n v="522.46860000000004"/>
    <x v="116"/>
  </r>
  <r>
    <s v="ORD-0118"/>
    <x v="101"/>
    <x v="6"/>
    <s v="Q2"/>
    <x v="1"/>
    <x v="1"/>
    <s v="Cabinet"/>
    <s v="Henry Brown"/>
    <n v="275.06"/>
    <n v="28"/>
    <x v="117"/>
    <n v="0.1"/>
    <n v="7693.9783200000002"/>
    <n v="3657"/>
    <n v="4036.9783200000002"/>
    <x v="117"/>
  </r>
  <r>
    <s v="ORD-0119"/>
    <x v="102"/>
    <x v="0"/>
    <s v="Q4"/>
    <x v="1"/>
    <x v="3"/>
    <s v="Headphones"/>
    <s v="Emma Davis"/>
    <n v="49.75"/>
    <n v="4"/>
    <x v="118"/>
    <n v="0.2"/>
    <n v="198.602"/>
    <n v="94.1"/>
    <n v="104.50200000000001"/>
    <x v="118"/>
  </r>
  <r>
    <s v="ORD-0120"/>
    <x v="103"/>
    <x v="10"/>
    <s v="Q2"/>
    <x v="0"/>
    <x v="3"/>
    <s v="Keyboard"/>
    <s v="David Lee"/>
    <n v="41.83"/>
    <n v="26"/>
    <x v="119"/>
    <n v="0.05"/>
    <n v="1087.03621"/>
    <n v="508.09"/>
    <n v="578.94621000000006"/>
    <x v="119"/>
  </r>
  <r>
    <s v="ORD-0121"/>
    <x v="104"/>
    <x v="9"/>
    <s v="Q3"/>
    <x v="2"/>
    <x v="1"/>
    <s v="Bookshelf"/>
    <s v="Carol White"/>
    <n v="116.49"/>
    <n v="20"/>
    <x v="120"/>
    <n v="0"/>
    <n v="2329.7999999999997"/>
    <n v="1209.9000000000001"/>
    <n v="1119.8999999999996"/>
    <x v="120"/>
  </r>
  <r>
    <s v="ORD-0122"/>
    <x v="105"/>
    <x v="7"/>
    <s v="Q1"/>
    <x v="1"/>
    <x v="1"/>
    <s v="Desk"/>
    <s v="Alice Johnson"/>
    <n v="173.86"/>
    <n v="12"/>
    <x v="121"/>
    <n v="0.05"/>
    <n v="2085.2768400000004"/>
    <n v="1245.99"/>
    <n v="839.28684000000044"/>
    <x v="121"/>
  </r>
  <r>
    <s v="ORD-0123"/>
    <x v="106"/>
    <x v="1"/>
    <s v="Q1"/>
    <x v="1"/>
    <x v="3"/>
    <s v="Monitor"/>
    <s v="Grace Kim"/>
    <n v="139.57"/>
    <n v="24"/>
    <x v="122"/>
    <n v="0"/>
    <n v="3349.68"/>
    <n v="1906.11"/>
    <n v="1443.57"/>
    <x v="122"/>
  </r>
  <r>
    <s v="ORD-0124"/>
    <x v="107"/>
    <x v="5"/>
    <s v="Q2"/>
    <x v="0"/>
    <x v="4"/>
    <s v="Hat"/>
    <s v="David Lee"/>
    <n v="24.71"/>
    <n v="2"/>
    <x v="123"/>
    <n v="0.05"/>
    <n v="49.395290000000003"/>
    <n v="27.9"/>
    <n v="21.495290000000004"/>
    <x v="123"/>
  </r>
  <r>
    <s v="ORD-0125"/>
    <x v="108"/>
    <x v="1"/>
    <s v="Q1"/>
    <x v="3"/>
    <x v="4"/>
    <s v="Shoes"/>
    <s v="Bob Martinez"/>
    <n v="80.16"/>
    <n v="30"/>
    <x v="124"/>
    <n v="0.2"/>
    <n v="2399.9903999999997"/>
    <n v="1126.33"/>
    <n v="1273.6603999999998"/>
    <x v="124"/>
  </r>
  <r>
    <s v="ORD-0126"/>
    <x v="109"/>
    <x v="4"/>
    <s v="Q1"/>
    <x v="2"/>
    <x v="3"/>
    <s v="Monitor"/>
    <s v="Emma Davis"/>
    <n v="145.46"/>
    <n v="19"/>
    <x v="125"/>
    <n v="0.1"/>
    <n v="2760.9762600000004"/>
    <n v="1506.85"/>
    <n v="1254.1262600000005"/>
    <x v="125"/>
  </r>
  <r>
    <s v="ORD-0127"/>
    <x v="110"/>
    <x v="2"/>
    <s v="Q4"/>
    <x v="1"/>
    <x v="4"/>
    <s v="Hat"/>
    <s v="Grace Kim"/>
    <n v="17.09"/>
    <n v="23"/>
    <x v="126"/>
    <n v="0"/>
    <n v="393.07"/>
    <n v="260.72000000000003"/>
    <n v="132.34999999999997"/>
    <x v="126"/>
  </r>
  <r>
    <s v="ORD-0128"/>
    <x v="111"/>
    <x v="0"/>
    <s v="Q4"/>
    <x v="2"/>
    <x v="4"/>
    <s v="Shoes"/>
    <s v="David Lee"/>
    <n v="77.48"/>
    <n v="27"/>
    <x v="127"/>
    <n v="0.2"/>
    <n v="2087.7760800000001"/>
    <n v="1149.97"/>
    <n v="937.80608000000007"/>
    <x v="127"/>
  </r>
  <r>
    <s v="ORD-0129"/>
    <x v="112"/>
    <x v="11"/>
    <s v="Q4"/>
    <x v="1"/>
    <x v="4"/>
    <s v="Trousers"/>
    <s v="Emma Davis"/>
    <n v="48.92"/>
    <n v="5"/>
    <x v="128"/>
    <n v="0.2"/>
    <n v="244.11080000000001"/>
    <n v="114.18"/>
    <n v="129.9308"/>
    <x v="128"/>
  </r>
  <r>
    <s v="ORD-0130"/>
    <x v="113"/>
    <x v="4"/>
    <s v="Q1"/>
    <x v="3"/>
    <x v="3"/>
    <s v="Keyboard"/>
    <s v="Carol White"/>
    <n v="35.35"/>
    <n v="19"/>
    <x v="129"/>
    <n v="0.1"/>
    <n v="670.97834999999998"/>
    <n v="414.69"/>
    <n v="256.28834999999998"/>
    <x v="129"/>
  </r>
  <r>
    <s v="ORD-0131"/>
    <x v="114"/>
    <x v="3"/>
    <s v="Q3"/>
    <x v="3"/>
    <x v="3"/>
    <s v="Keyboard"/>
    <s v="Emma Davis"/>
    <n v="32.270000000000003"/>
    <n v="19"/>
    <x v="130"/>
    <n v="0.05"/>
    <n v="612.82343500000013"/>
    <n v="299.67"/>
    <n v="313.15343500000012"/>
    <x v="130"/>
  </r>
  <r>
    <s v="ORD-0132"/>
    <x v="115"/>
    <x v="8"/>
    <s v="Q3"/>
    <x v="0"/>
    <x v="0"/>
    <s v="Folders"/>
    <s v="Frank Wilson"/>
    <n v="5.74"/>
    <n v="9"/>
    <x v="131"/>
    <n v="0.05"/>
    <n v="51.634170000000005"/>
    <n v="33.700000000000003"/>
    <n v="17.934170000000002"/>
    <x v="131"/>
  </r>
  <r>
    <s v="ORD-0133"/>
    <x v="85"/>
    <x v="9"/>
    <s v="Q3"/>
    <x v="0"/>
    <x v="2"/>
    <s v="Tennis Racket"/>
    <s v="Alice Johnson"/>
    <n v="54.46"/>
    <n v="23"/>
    <x v="132"/>
    <n v="0.05"/>
    <n v="1251.95371"/>
    <n v="852.26"/>
    <n v="399.69371000000001"/>
    <x v="132"/>
  </r>
  <r>
    <s v="ORD-0134"/>
    <x v="116"/>
    <x v="5"/>
    <s v="Q2"/>
    <x v="2"/>
    <x v="1"/>
    <s v="Lamp"/>
    <s v="Grace Kim"/>
    <n v="32.72"/>
    <n v="24"/>
    <x v="133"/>
    <n v="0"/>
    <n v="785.28"/>
    <n v="371.36"/>
    <n v="413.91999999999996"/>
    <x v="133"/>
  </r>
  <r>
    <s v="ORD-0135"/>
    <x v="104"/>
    <x v="9"/>
    <s v="Q3"/>
    <x v="3"/>
    <x v="4"/>
    <s v="Shoes"/>
    <s v="Frank Wilson"/>
    <n v="68.510000000000005"/>
    <n v="10"/>
    <x v="134"/>
    <n v="0.1"/>
    <n v="684.41489999999999"/>
    <n v="441.34"/>
    <n v="243.07490000000001"/>
    <x v="134"/>
  </r>
  <r>
    <s v="ORD-0136"/>
    <x v="117"/>
    <x v="2"/>
    <s v="Q4"/>
    <x v="0"/>
    <x v="3"/>
    <s v="Monitor"/>
    <s v="Carol White"/>
    <n v="153.27000000000001"/>
    <n v="2"/>
    <x v="135"/>
    <n v="0"/>
    <n v="306.54000000000002"/>
    <n v="158.79"/>
    <n v="147.75000000000003"/>
    <x v="135"/>
  </r>
  <r>
    <s v="ORD-0137"/>
    <x v="118"/>
    <x v="0"/>
    <s v="Q4"/>
    <x v="3"/>
    <x v="2"/>
    <s v="Jump Rope"/>
    <s v="Grace Kim"/>
    <n v="10.37"/>
    <n v="25"/>
    <x v="136"/>
    <n v="0"/>
    <n v="259.25"/>
    <n v="138.97999999999999"/>
    <n v="120.27000000000001"/>
    <x v="136"/>
  </r>
  <r>
    <s v="ORD-0138"/>
    <x v="95"/>
    <x v="4"/>
    <s v="Q1"/>
    <x v="3"/>
    <x v="2"/>
    <s v="Tennis Racket"/>
    <s v="Alice Johnson"/>
    <n v="55.56"/>
    <n v="20"/>
    <x v="137"/>
    <n v="0"/>
    <n v="1111.2"/>
    <n v="502.21"/>
    <n v="608.99"/>
    <x v="137"/>
  </r>
  <r>
    <s v="ORD-0139"/>
    <x v="119"/>
    <x v="6"/>
    <s v="Q2"/>
    <x v="2"/>
    <x v="0"/>
    <s v="Stapler"/>
    <s v="Frank Wilson"/>
    <n v="11.52"/>
    <n v="16"/>
    <x v="138"/>
    <n v="0.15"/>
    <n v="184.04352"/>
    <n v="91.04"/>
    <n v="93.003519999999995"/>
    <x v="138"/>
  </r>
  <r>
    <s v="ORD-0140"/>
    <x v="120"/>
    <x v="3"/>
    <s v="Q3"/>
    <x v="2"/>
    <x v="2"/>
    <s v="Water Bottle"/>
    <s v="Frank Wilson"/>
    <n v="11.23"/>
    <n v="28"/>
    <x v="139"/>
    <n v="0"/>
    <n v="314.44"/>
    <n v="175.83"/>
    <n v="138.60999999999999"/>
    <x v="139"/>
  </r>
  <r>
    <s v="ORD-0141"/>
    <x v="121"/>
    <x v="8"/>
    <s v="Q3"/>
    <x v="1"/>
    <x v="2"/>
    <s v="Jump Rope"/>
    <s v="Grace Kim"/>
    <n v="12.55"/>
    <n v="14"/>
    <x v="140"/>
    <n v="0.05"/>
    <n v="175.61215000000001"/>
    <n v="84.11"/>
    <n v="91.502150000000015"/>
    <x v="140"/>
  </r>
  <r>
    <s v="ORD-0142"/>
    <x v="122"/>
    <x v="1"/>
    <s v="Q1"/>
    <x v="2"/>
    <x v="2"/>
    <s v="Jump Rope"/>
    <s v="Frank Wilson"/>
    <n v="9.44"/>
    <n v="28"/>
    <x v="141"/>
    <n v="0"/>
    <n v="264.32"/>
    <n v="135.03"/>
    <n v="129.29"/>
    <x v="141"/>
  </r>
  <r>
    <s v="ORD-0143"/>
    <x v="123"/>
    <x v="2"/>
    <s v="Q4"/>
    <x v="0"/>
    <x v="4"/>
    <s v="Trousers"/>
    <s v="Frank Wilson"/>
    <n v="45.49"/>
    <n v="25"/>
    <x v="142"/>
    <n v="0"/>
    <n v="1137.25"/>
    <n v="533.41999999999996"/>
    <n v="603.83000000000004"/>
    <x v="142"/>
  </r>
  <r>
    <s v="ORD-0144"/>
    <x v="0"/>
    <x v="0"/>
    <s v="Q4"/>
    <x v="2"/>
    <x v="0"/>
    <s v="Stapler"/>
    <s v="Carol White"/>
    <n v="12.22"/>
    <n v="5"/>
    <x v="143"/>
    <n v="0.05"/>
    <n v="61.069450000000003"/>
    <n v="30.5"/>
    <n v="30.569450000000003"/>
    <x v="143"/>
  </r>
  <r>
    <s v="ORD-0145"/>
    <x v="124"/>
    <x v="2"/>
    <s v="Q4"/>
    <x v="0"/>
    <x v="1"/>
    <s v="Cabinet"/>
    <s v="Henry Brown"/>
    <n v="255.44"/>
    <n v="25"/>
    <x v="144"/>
    <n v="0.2"/>
    <n v="6373.2280000000001"/>
    <n v="3961.2"/>
    <n v="2412.0280000000002"/>
    <x v="144"/>
  </r>
  <r>
    <s v="ORD-0146"/>
    <x v="70"/>
    <x v="2"/>
    <s v="Q4"/>
    <x v="1"/>
    <x v="0"/>
    <s v="Pens Set"/>
    <s v="Henry Brown"/>
    <n v="4.67"/>
    <n v="15"/>
    <x v="145"/>
    <n v="0.05"/>
    <n v="70.014975000000007"/>
    <n v="45.48"/>
    <n v="24.53497500000001"/>
    <x v="145"/>
  </r>
  <r>
    <s v="ORD-0147"/>
    <x v="72"/>
    <x v="2"/>
    <s v="Q4"/>
    <x v="1"/>
    <x v="2"/>
    <s v="Yoga Mat"/>
    <s v="Emma Davis"/>
    <n v="28.27"/>
    <n v="2"/>
    <x v="146"/>
    <n v="0"/>
    <n v="56.54"/>
    <n v="30.66"/>
    <n v="25.88"/>
    <x v="146"/>
  </r>
  <r>
    <s v="ORD-0148"/>
    <x v="125"/>
    <x v="6"/>
    <s v="Q2"/>
    <x v="0"/>
    <x v="2"/>
    <s v="Water Bottle"/>
    <s v="Grace Kim"/>
    <n v="13.58"/>
    <n v="18"/>
    <x v="147"/>
    <n v="0"/>
    <n v="244.44"/>
    <n v="137.44"/>
    <n v="107"/>
    <x v="147"/>
  </r>
  <r>
    <s v="ORD-0149"/>
    <x v="70"/>
    <x v="2"/>
    <s v="Q4"/>
    <x v="2"/>
    <x v="0"/>
    <s v="Folders"/>
    <s v="Henry Brown"/>
    <n v="6.9"/>
    <n v="2"/>
    <x v="148"/>
    <n v="0.2"/>
    <n v="13.772400000000001"/>
    <n v="6.57"/>
    <n v="7.2024000000000008"/>
    <x v="148"/>
  </r>
  <r>
    <s v="ORD-0150"/>
    <x v="126"/>
    <x v="5"/>
    <s v="Q2"/>
    <x v="0"/>
    <x v="2"/>
    <s v="Dumbbells"/>
    <s v="Alice Johnson"/>
    <n v="40.950000000000003"/>
    <n v="15"/>
    <x v="149"/>
    <n v="0.2"/>
    <n v="613.02149999999995"/>
    <n v="356.93"/>
    <n v="256.09149999999994"/>
    <x v="149"/>
  </r>
  <r>
    <s v="ORD-0151"/>
    <x v="127"/>
    <x v="2"/>
    <s v="Q4"/>
    <x v="1"/>
    <x v="0"/>
    <s v="Stapler"/>
    <s v="Grace Kim"/>
    <n v="13.25"/>
    <n v="11"/>
    <x v="150"/>
    <n v="0"/>
    <n v="145.75"/>
    <n v="94.36"/>
    <n v="51.39"/>
    <x v="150"/>
  </r>
  <r>
    <s v="ORD-0152"/>
    <x v="60"/>
    <x v="0"/>
    <s v="Q4"/>
    <x v="0"/>
    <x v="0"/>
    <s v="Notebook"/>
    <s v="Grace Kim"/>
    <n v="8.34"/>
    <n v="24"/>
    <x v="151"/>
    <n v="0"/>
    <n v="200.16"/>
    <n v="106.71"/>
    <n v="93.45"/>
    <x v="151"/>
  </r>
  <r>
    <s v="ORD-0153"/>
    <x v="128"/>
    <x v="2"/>
    <s v="Q4"/>
    <x v="2"/>
    <x v="0"/>
    <s v="Stapler"/>
    <s v="Grace Kim"/>
    <n v="11.57"/>
    <n v="23"/>
    <x v="152"/>
    <n v="0"/>
    <n v="266.11"/>
    <n v="140.38999999999999"/>
    <n v="125.72000000000003"/>
    <x v="152"/>
  </r>
  <r>
    <s v="ORD-0154"/>
    <x v="129"/>
    <x v="3"/>
    <s v="Q3"/>
    <x v="1"/>
    <x v="1"/>
    <s v="Lamp"/>
    <s v="Bob Martinez"/>
    <n v="42.81"/>
    <n v="14"/>
    <x v="153"/>
    <n v="0.1"/>
    <n v="598.74066000000005"/>
    <n v="272.41000000000003"/>
    <n v="326.33066000000002"/>
    <x v="153"/>
  </r>
  <r>
    <s v="ORD-0155"/>
    <x v="34"/>
    <x v="6"/>
    <s v="Q2"/>
    <x v="2"/>
    <x v="0"/>
    <s v="Printer Paper"/>
    <s v="David Lee"/>
    <n v="20.27"/>
    <n v="5"/>
    <x v="154"/>
    <n v="0"/>
    <n v="101.35"/>
    <n v="47.55"/>
    <n v="53.8"/>
    <x v="154"/>
  </r>
  <r>
    <s v="ORD-0156"/>
    <x v="130"/>
    <x v="4"/>
    <s v="Q1"/>
    <x v="0"/>
    <x v="0"/>
    <s v="Folders"/>
    <s v="Carol White"/>
    <n v="7.19"/>
    <n v="5"/>
    <x v="155"/>
    <n v="0"/>
    <n v="35.950000000000003"/>
    <n v="17.809999999999999"/>
    <n v="18.140000000000004"/>
    <x v="155"/>
  </r>
  <r>
    <s v="ORD-0157"/>
    <x v="94"/>
    <x v="11"/>
    <s v="Q4"/>
    <x v="2"/>
    <x v="4"/>
    <s v="T-Shirt"/>
    <s v="Grace Kim"/>
    <n v="16.23"/>
    <n v="24"/>
    <x v="156"/>
    <n v="0.05"/>
    <n v="389.32524000000001"/>
    <n v="269.74"/>
    <n v="119.58524"/>
    <x v="156"/>
  </r>
  <r>
    <s v="ORD-0158"/>
    <x v="75"/>
    <x v="2"/>
    <s v="Q4"/>
    <x v="3"/>
    <x v="1"/>
    <s v="Lamp"/>
    <s v="David Lee"/>
    <n v="36.92"/>
    <n v="26"/>
    <x v="157"/>
    <n v="0.2"/>
    <n v="958.00016000000005"/>
    <n v="648.82000000000005"/>
    <n v="309.18016"/>
    <x v="157"/>
  </r>
  <r>
    <s v="ORD-0159"/>
    <x v="131"/>
    <x v="10"/>
    <s v="Q2"/>
    <x v="3"/>
    <x v="4"/>
    <s v="Trousers"/>
    <s v="Grace Kim"/>
    <n v="51.82"/>
    <n v="14"/>
    <x v="158"/>
    <n v="0"/>
    <n v="725.48"/>
    <n v="474.58"/>
    <n v="250.90000000000003"/>
    <x v="158"/>
  </r>
  <r>
    <s v="ORD-0160"/>
    <x v="124"/>
    <x v="2"/>
    <s v="Q4"/>
    <x v="1"/>
    <x v="3"/>
    <s v="Headphones"/>
    <s v="Frank Wilson"/>
    <n v="58.86"/>
    <n v="4"/>
    <x v="159"/>
    <n v="0"/>
    <n v="235.44"/>
    <n v="122.73"/>
    <n v="112.71"/>
    <x v="159"/>
  </r>
  <r>
    <s v="ORD-0161"/>
    <x v="132"/>
    <x v="7"/>
    <s v="Q1"/>
    <x v="3"/>
    <x v="2"/>
    <s v="Dumbbells"/>
    <s v="Grace Kim"/>
    <n v="37.83"/>
    <n v="30"/>
    <x v="160"/>
    <n v="0.05"/>
    <n v="1134.3325499999999"/>
    <n v="742.51"/>
    <n v="391.82254999999986"/>
    <x v="160"/>
  </r>
  <r>
    <s v="ORD-0162"/>
    <x v="116"/>
    <x v="5"/>
    <s v="Q2"/>
    <x v="3"/>
    <x v="3"/>
    <s v="Headphones"/>
    <s v="Frank Wilson"/>
    <n v="50.89"/>
    <n v="3"/>
    <x v="161"/>
    <n v="0.1"/>
    <n v="152.51733000000002"/>
    <n v="77.28"/>
    <n v="75.237330000000014"/>
    <x v="161"/>
  </r>
  <r>
    <s v="ORD-0163"/>
    <x v="12"/>
    <x v="5"/>
    <s v="Q2"/>
    <x v="1"/>
    <x v="1"/>
    <s v="Chair"/>
    <s v="Alice Johnson"/>
    <n v="156.52000000000001"/>
    <n v="27"/>
    <x v="162"/>
    <n v="0.2"/>
    <n v="4217.5879199999999"/>
    <n v="2637.06"/>
    <n v="1580.52792"/>
    <x v="162"/>
  </r>
  <r>
    <s v="ORD-0164"/>
    <x v="133"/>
    <x v="7"/>
    <s v="Q1"/>
    <x v="3"/>
    <x v="4"/>
    <s v="Hat"/>
    <s v="Alice Johnson"/>
    <n v="24.35"/>
    <n v="1"/>
    <x v="163"/>
    <n v="0.05"/>
    <n v="24.337825000000002"/>
    <n v="12.27"/>
    <n v="12.067825000000003"/>
    <x v="163"/>
  </r>
  <r>
    <s v="ORD-0165"/>
    <x v="134"/>
    <x v="7"/>
    <s v="Q1"/>
    <x v="3"/>
    <x v="3"/>
    <s v="Keyboard"/>
    <s v="David Lee"/>
    <n v="31.52"/>
    <n v="2"/>
    <x v="164"/>
    <n v="0.05"/>
    <n v="63.008480000000006"/>
    <n v="34.979999999999997"/>
    <n v="28.028480000000009"/>
    <x v="164"/>
  </r>
  <r>
    <s v="ORD-0166"/>
    <x v="135"/>
    <x v="2"/>
    <s v="Q4"/>
    <x v="0"/>
    <x v="3"/>
    <s v="Headphones"/>
    <s v="Alice Johnson"/>
    <n v="60.8"/>
    <n v="19"/>
    <x v="165"/>
    <n v="0.05"/>
    <n v="1154.6224000000002"/>
    <n v="727.34"/>
    <n v="427.28240000000017"/>
    <x v="165"/>
  </r>
  <r>
    <s v="ORD-0167"/>
    <x v="82"/>
    <x v="6"/>
    <s v="Q2"/>
    <x v="0"/>
    <x v="2"/>
    <s v="Tennis Racket"/>
    <s v="David Lee"/>
    <n v="65.19"/>
    <n v="6"/>
    <x v="166"/>
    <n v="0"/>
    <n v="391.14"/>
    <n v="227.21"/>
    <n v="163.92999999999998"/>
    <x v="166"/>
  </r>
  <r>
    <s v="ORD-0168"/>
    <x v="30"/>
    <x v="5"/>
    <s v="Q2"/>
    <x v="0"/>
    <x v="4"/>
    <s v="Shoes"/>
    <s v="Alice Johnson"/>
    <n v="85.25"/>
    <n v="12"/>
    <x v="167"/>
    <n v="0.05"/>
    <n v="1022.4885"/>
    <n v="651.46"/>
    <n v="371.02850000000001"/>
    <x v="167"/>
  </r>
  <r>
    <s v="ORD-0169"/>
    <x v="136"/>
    <x v="5"/>
    <s v="Q2"/>
    <x v="0"/>
    <x v="0"/>
    <s v="Pens Set"/>
    <s v="Bob Martinez"/>
    <n v="6.43"/>
    <n v="24"/>
    <x v="168"/>
    <n v="0.1"/>
    <n v="154.16567999999998"/>
    <n v="74.58"/>
    <n v="79.585679999999982"/>
    <x v="168"/>
  </r>
  <r>
    <s v="ORD-0170"/>
    <x v="137"/>
    <x v="5"/>
    <s v="Q2"/>
    <x v="1"/>
    <x v="1"/>
    <s v="Cabinet"/>
    <s v="Henry Brown"/>
    <n v="243.17"/>
    <n v="26"/>
    <x v="169"/>
    <n v="0"/>
    <n v="6322.42"/>
    <n v="2944.87"/>
    <n v="3377.55"/>
    <x v="169"/>
  </r>
  <r>
    <s v="ORD-0171"/>
    <x v="138"/>
    <x v="8"/>
    <s v="Q3"/>
    <x v="1"/>
    <x v="1"/>
    <s v="Desk"/>
    <s v="David Lee"/>
    <n v="241.72"/>
    <n v="11"/>
    <x v="170"/>
    <n v="0.05"/>
    <n v="2657.5905400000001"/>
    <n v="1539.11"/>
    <n v="1118.4805400000002"/>
    <x v="170"/>
  </r>
  <r>
    <s v="ORD-0172"/>
    <x v="139"/>
    <x v="9"/>
    <s v="Q3"/>
    <x v="1"/>
    <x v="3"/>
    <s v="Monitor"/>
    <s v="Emma Davis"/>
    <n v="129.41999999999999"/>
    <n v="25"/>
    <x v="171"/>
    <n v="0"/>
    <n v="3235.4999999999995"/>
    <n v="2156.27"/>
    <n v="1079.2299999999996"/>
    <x v="171"/>
  </r>
  <r>
    <s v="ORD-0173"/>
    <x v="79"/>
    <x v="5"/>
    <s v="Q2"/>
    <x v="0"/>
    <x v="0"/>
    <s v="Printer Paper"/>
    <s v="Grace Kim"/>
    <n v="25.43"/>
    <n v="29"/>
    <x v="172"/>
    <n v="0.15"/>
    <n v="736.3637950000001"/>
    <n v="394.42"/>
    <n v="341.94379500000008"/>
    <x v="172"/>
  </r>
  <r>
    <s v="ORD-0174"/>
    <x v="140"/>
    <x v="7"/>
    <s v="Q1"/>
    <x v="3"/>
    <x v="0"/>
    <s v="Folders"/>
    <s v="Emma Davis"/>
    <n v="7.8"/>
    <n v="24"/>
    <x v="173"/>
    <n v="0.15"/>
    <n v="186.91919999999999"/>
    <n v="87.97"/>
    <n v="98.94919999999999"/>
    <x v="173"/>
  </r>
  <r>
    <s v="ORD-0175"/>
    <x v="141"/>
    <x v="2"/>
    <s v="Q4"/>
    <x v="2"/>
    <x v="2"/>
    <s v="Tennis Racket"/>
    <s v="Frank Wilson"/>
    <n v="52.32"/>
    <n v="11"/>
    <x v="174"/>
    <n v="0.05"/>
    <n v="575.23224000000005"/>
    <n v="303.08999999999997"/>
    <n v="272.14224000000007"/>
    <x v="174"/>
  </r>
  <r>
    <s v="ORD-0176"/>
    <x v="63"/>
    <x v="2"/>
    <s v="Q4"/>
    <x v="3"/>
    <x v="1"/>
    <s v="Cabinet"/>
    <s v="Frank Wilson"/>
    <n v="224.71"/>
    <n v="24"/>
    <x v="175"/>
    <n v="0.1"/>
    <n v="5387.64696"/>
    <n v="3255.89"/>
    <n v="2131.7569600000002"/>
    <x v="175"/>
  </r>
  <r>
    <s v="ORD-0177"/>
    <x v="142"/>
    <x v="3"/>
    <s v="Q3"/>
    <x v="0"/>
    <x v="3"/>
    <s v="Headphones"/>
    <s v="Frank Wilson"/>
    <n v="57.83"/>
    <n v="24"/>
    <x v="176"/>
    <n v="0"/>
    <n v="1387.92"/>
    <n v="955.12"/>
    <n v="432.80000000000007"/>
    <x v="176"/>
  </r>
  <r>
    <s v="ORD-0178"/>
    <x v="143"/>
    <x v="7"/>
    <s v="Q1"/>
    <x v="3"/>
    <x v="3"/>
    <s v="Monitor"/>
    <s v="Bob Martinez"/>
    <n v="122.16"/>
    <n v="21"/>
    <x v="177"/>
    <n v="0.1"/>
    <n v="2562.7946400000001"/>
    <n v="1386.67"/>
    <n v="1176.12464"/>
    <x v="177"/>
  </r>
  <r>
    <s v="ORD-0179"/>
    <x v="72"/>
    <x v="2"/>
    <s v="Q4"/>
    <x v="2"/>
    <x v="4"/>
    <s v="Trousers"/>
    <s v="Frank Wilson"/>
    <n v="50.49"/>
    <n v="3"/>
    <x v="178"/>
    <n v="0"/>
    <n v="151.47"/>
    <n v="88.21"/>
    <n v="63.260000000000005"/>
    <x v="178"/>
  </r>
  <r>
    <s v="ORD-0180"/>
    <x v="55"/>
    <x v="3"/>
    <s v="Q3"/>
    <x v="1"/>
    <x v="1"/>
    <s v="Desk"/>
    <s v="Alice Johnson"/>
    <n v="228.21"/>
    <n v="16"/>
    <x v="179"/>
    <n v="0.15"/>
    <n v="3645.8829600000004"/>
    <n v="2477.04"/>
    <n v="1168.8429600000004"/>
    <x v="179"/>
  </r>
  <r>
    <s v="ORD-0181"/>
    <x v="40"/>
    <x v="4"/>
    <s v="Q1"/>
    <x v="1"/>
    <x v="4"/>
    <s v="Jacket"/>
    <s v="Emma Davis"/>
    <n v="74.819999999999993"/>
    <n v="16"/>
    <x v="180"/>
    <n v="0.05"/>
    <n v="1196.52144"/>
    <n v="575.4"/>
    <n v="621.12144000000001"/>
    <x v="180"/>
  </r>
  <r>
    <s v="ORD-0182"/>
    <x v="98"/>
    <x v="4"/>
    <s v="Q1"/>
    <x v="2"/>
    <x v="4"/>
    <s v="T-Shirt"/>
    <s v="Frank Wilson"/>
    <n v="18.510000000000002"/>
    <n v="23"/>
    <x v="181"/>
    <n v="0"/>
    <n v="425.73"/>
    <n v="250.1"/>
    <n v="175.63000000000002"/>
    <x v="181"/>
  </r>
  <r>
    <s v="ORD-0183"/>
    <x v="144"/>
    <x v="6"/>
    <s v="Q2"/>
    <x v="2"/>
    <x v="1"/>
    <s v="Bookshelf"/>
    <s v="David Lee"/>
    <n v="86.46"/>
    <n v="7"/>
    <x v="182"/>
    <n v="0"/>
    <n v="605.21999999999991"/>
    <n v="308.17"/>
    <n v="297.0499999999999"/>
    <x v="182"/>
  </r>
  <r>
    <s v="ORD-0184"/>
    <x v="99"/>
    <x v="8"/>
    <s v="Q3"/>
    <x v="1"/>
    <x v="2"/>
    <s v="Water Bottle"/>
    <s v="Frank Wilson"/>
    <n v="13.6"/>
    <n v="18"/>
    <x v="183"/>
    <n v="0"/>
    <n v="244.79999999999998"/>
    <n v="147.66"/>
    <n v="97.139999999999986"/>
    <x v="183"/>
  </r>
  <r>
    <s v="ORD-0185"/>
    <x v="113"/>
    <x v="4"/>
    <s v="Q1"/>
    <x v="1"/>
    <x v="4"/>
    <s v="Shoes"/>
    <s v="Grace Kim"/>
    <n v="89.92"/>
    <n v="27"/>
    <x v="184"/>
    <n v="0"/>
    <n v="2427.84"/>
    <n v="1168.6099999999999"/>
    <n v="1259.2300000000002"/>
    <x v="184"/>
  </r>
  <r>
    <s v="ORD-0186"/>
    <x v="145"/>
    <x v="5"/>
    <s v="Q2"/>
    <x v="0"/>
    <x v="4"/>
    <s v="Shoes"/>
    <s v="Frank Wilson"/>
    <n v="67.489999999999995"/>
    <n v="27"/>
    <x v="185"/>
    <n v="0"/>
    <n v="1822.2299999999998"/>
    <n v="1169.8"/>
    <n v="652.42999999999984"/>
    <x v="185"/>
  </r>
  <r>
    <s v="ORD-0187"/>
    <x v="146"/>
    <x v="7"/>
    <s v="Q1"/>
    <x v="0"/>
    <x v="3"/>
    <s v="Webcam"/>
    <s v="Carol White"/>
    <n v="42.08"/>
    <n v="6"/>
    <x v="186"/>
    <n v="0.1"/>
    <n v="252.22752"/>
    <n v="172.63"/>
    <n v="79.597520000000003"/>
    <x v="186"/>
  </r>
  <r>
    <s v="ORD-0188"/>
    <x v="131"/>
    <x v="10"/>
    <s v="Q2"/>
    <x v="1"/>
    <x v="3"/>
    <s v="Keyboard"/>
    <s v="David Lee"/>
    <n v="36.53"/>
    <n v="18"/>
    <x v="187"/>
    <n v="0.05"/>
    <n v="657.21123"/>
    <n v="316.43"/>
    <n v="340.78122999999999"/>
    <x v="187"/>
  </r>
  <r>
    <s v="ORD-0189"/>
    <x v="147"/>
    <x v="6"/>
    <s v="Q2"/>
    <x v="0"/>
    <x v="2"/>
    <s v="Dumbbells"/>
    <s v="Carol White"/>
    <n v="39.42"/>
    <n v="20"/>
    <x v="188"/>
    <n v="0.1"/>
    <n v="787.61160000000007"/>
    <n v="520.9"/>
    <n v="266.71160000000009"/>
    <x v="188"/>
  </r>
  <r>
    <s v="ORD-0190"/>
    <x v="72"/>
    <x v="2"/>
    <s v="Q4"/>
    <x v="0"/>
    <x v="3"/>
    <s v="Laptop"/>
    <s v="Emma Davis"/>
    <n v="245.11"/>
    <n v="25"/>
    <x v="189"/>
    <n v="0.15"/>
    <n v="6118.5583750000005"/>
    <n v="3704.44"/>
    <n v="2414.1183750000005"/>
    <x v="189"/>
  </r>
  <r>
    <s v="ORD-0191"/>
    <x v="148"/>
    <x v="1"/>
    <s v="Q1"/>
    <x v="1"/>
    <x v="0"/>
    <s v="Printer Paper"/>
    <s v="David Lee"/>
    <n v="26.05"/>
    <n v="22"/>
    <x v="190"/>
    <n v="0.15"/>
    <n v="572.24035000000003"/>
    <n v="300.47000000000003"/>
    <n v="271.77035000000001"/>
    <x v="190"/>
  </r>
  <r>
    <s v="ORD-0192"/>
    <x v="149"/>
    <x v="4"/>
    <s v="Q1"/>
    <x v="0"/>
    <x v="1"/>
    <s v="Cabinet"/>
    <s v="Grace Kim"/>
    <n v="228.43"/>
    <n v="7"/>
    <x v="191"/>
    <n v="0.1"/>
    <n v="1597.4109900000001"/>
    <n v="962.05"/>
    <n v="635.36099000000013"/>
    <x v="191"/>
  </r>
  <r>
    <s v="ORD-0193"/>
    <x v="89"/>
    <x v="5"/>
    <s v="Q2"/>
    <x v="1"/>
    <x v="0"/>
    <s v="Printer Paper"/>
    <s v="Carol White"/>
    <n v="25.61"/>
    <n v="17"/>
    <x v="192"/>
    <n v="0"/>
    <n v="435.37"/>
    <n v="230.62"/>
    <n v="204.75"/>
    <x v="192"/>
  </r>
  <r>
    <s v="ORD-0194"/>
    <x v="150"/>
    <x v="8"/>
    <s v="Q3"/>
    <x v="1"/>
    <x v="4"/>
    <s v="Jacket"/>
    <s v="Carol White"/>
    <n v="56.9"/>
    <n v="10"/>
    <x v="193"/>
    <n v="0.15"/>
    <n v="568.14650000000006"/>
    <n v="379.01"/>
    <n v="189.13650000000007"/>
    <x v="193"/>
  </r>
  <r>
    <s v="ORD-0195"/>
    <x v="151"/>
    <x v="3"/>
    <s v="Q3"/>
    <x v="2"/>
    <x v="0"/>
    <s v="Folders"/>
    <s v="Frank Wilson"/>
    <n v="5.97"/>
    <n v="6"/>
    <x v="194"/>
    <n v="0.2"/>
    <n v="35.748359999999998"/>
    <n v="25.04"/>
    <n v="10.708359999999999"/>
    <x v="194"/>
  </r>
  <r>
    <s v="ORD-0196"/>
    <x v="23"/>
    <x v="8"/>
    <s v="Q3"/>
    <x v="1"/>
    <x v="4"/>
    <s v="T-Shirt"/>
    <s v="Bob Martinez"/>
    <n v="20.59"/>
    <n v="17"/>
    <x v="195"/>
    <n v="0.2"/>
    <n v="349.32993999999997"/>
    <n v="242.1"/>
    <n v="107.22993999999997"/>
    <x v="195"/>
  </r>
  <r>
    <s v="ORD-0197"/>
    <x v="15"/>
    <x v="10"/>
    <s v="Q2"/>
    <x v="1"/>
    <x v="3"/>
    <s v="Laptop"/>
    <s v="Emma Davis"/>
    <n v="229.49"/>
    <n v="29"/>
    <x v="196"/>
    <n v="0.2"/>
    <n v="6641.8995800000002"/>
    <n v="3470.26"/>
    <n v="3171.63958"/>
    <x v="196"/>
  </r>
  <r>
    <s v="ORD-0198"/>
    <x v="10"/>
    <x v="1"/>
    <s v="Q1"/>
    <x v="0"/>
    <x v="4"/>
    <s v="Jacket"/>
    <s v="Emma Davis"/>
    <n v="75.83"/>
    <n v="25"/>
    <x v="197"/>
    <n v="0.15"/>
    <n v="1892.906375"/>
    <n v="1026.45"/>
    <n v="866.45637499999998"/>
    <x v="197"/>
  </r>
  <r>
    <s v="ORD-0199"/>
    <x v="86"/>
    <x v="3"/>
    <s v="Q3"/>
    <x v="2"/>
    <x v="0"/>
    <s v="Folders"/>
    <s v="Emma Davis"/>
    <n v="5.62"/>
    <n v="17"/>
    <x v="198"/>
    <n v="0.2"/>
    <n v="95.348920000000007"/>
    <n v="61.26"/>
    <n v="34.088920000000009"/>
    <x v="198"/>
  </r>
  <r>
    <s v="ORD-0200"/>
    <x v="96"/>
    <x v="6"/>
    <s v="Q2"/>
    <x v="0"/>
    <x v="1"/>
    <s v="Desk"/>
    <s v="Grace Kim"/>
    <n v="195.59"/>
    <n v="11"/>
    <x v="199"/>
    <n v="0.1"/>
    <n v="2149.33851"/>
    <n v="1374.23"/>
    <n v="775.10851000000002"/>
    <x v="199"/>
  </r>
  <r>
    <s v="ORD-0201"/>
    <x v="152"/>
    <x v="10"/>
    <s v="Q2"/>
    <x v="3"/>
    <x v="2"/>
    <s v="Yoga Mat"/>
    <s v="Alice Johnson"/>
    <n v="22.99"/>
    <n v="23"/>
    <x v="200"/>
    <n v="0.1"/>
    <n v="528.24122999999997"/>
    <n v="344.17"/>
    <n v="184.07122999999996"/>
    <x v="200"/>
  </r>
  <r>
    <s v="ORD-0202"/>
    <x v="153"/>
    <x v="9"/>
    <s v="Q3"/>
    <x v="2"/>
    <x v="2"/>
    <s v="Water Bottle"/>
    <s v="Carol White"/>
    <n v="12.77"/>
    <n v="20"/>
    <x v="201"/>
    <n v="0.1"/>
    <n v="255.14459999999997"/>
    <n v="125.28"/>
    <n v="129.86459999999997"/>
    <x v="201"/>
  </r>
  <r>
    <s v="ORD-0203"/>
    <x v="154"/>
    <x v="2"/>
    <s v="Q4"/>
    <x v="1"/>
    <x v="2"/>
    <s v="Tennis Racket"/>
    <s v="Henry Brown"/>
    <n v="68.989999999999995"/>
    <n v="10"/>
    <x v="202"/>
    <n v="0.2"/>
    <n v="688.52019999999993"/>
    <n v="451.15"/>
    <n v="237.37019999999995"/>
    <x v="202"/>
  </r>
  <r>
    <s v="ORD-0204"/>
    <x v="155"/>
    <x v="5"/>
    <s v="Q2"/>
    <x v="0"/>
    <x v="4"/>
    <s v="Hat"/>
    <s v="Emma Davis"/>
    <n v="23.37"/>
    <n v="24"/>
    <x v="203"/>
    <n v="0"/>
    <n v="560.88"/>
    <n v="336.11"/>
    <n v="224.76999999999998"/>
    <x v="203"/>
  </r>
  <r>
    <s v="ORD-0205"/>
    <x v="7"/>
    <x v="6"/>
    <s v="Q2"/>
    <x v="2"/>
    <x v="3"/>
    <s v="Webcam"/>
    <s v="Henry Brown"/>
    <n v="39.409999999999997"/>
    <n v="21"/>
    <x v="204"/>
    <n v="0.15"/>
    <n v="826.36858499999994"/>
    <n v="403"/>
    <n v="423.36858499999994"/>
    <x v="204"/>
  </r>
  <r>
    <s v="ORD-0206"/>
    <x v="156"/>
    <x v="0"/>
    <s v="Q4"/>
    <x v="0"/>
    <x v="2"/>
    <s v="Yoga Mat"/>
    <s v="David Lee"/>
    <n v="22.74"/>
    <n v="11"/>
    <x v="205"/>
    <n v="0.15"/>
    <n v="249.76479"/>
    <n v="122.02"/>
    <n v="127.74479000000001"/>
    <x v="205"/>
  </r>
  <r>
    <s v="ORD-0207"/>
    <x v="157"/>
    <x v="11"/>
    <s v="Q4"/>
    <x v="3"/>
    <x v="2"/>
    <s v="Water Bottle"/>
    <s v="Henry Brown"/>
    <n v="16.04"/>
    <n v="24"/>
    <x v="206"/>
    <n v="0"/>
    <n v="384.96"/>
    <n v="241.11"/>
    <n v="143.84999999999997"/>
    <x v="206"/>
  </r>
  <r>
    <s v="ORD-0208"/>
    <x v="104"/>
    <x v="9"/>
    <s v="Q3"/>
    <x v="1"/>
    <x v="4"/>
    <s v="Hat"/>
    <s v="Grace Kim"/>
    <n v="19.02"/>
    <n v="6"/>
    <x v="207"/>
    <n v="0.2"/>
    <n v="113.89176"/>
    <n v="77.39"/>
    <n v="36.501760000000004"/>
    <x v="207"/>
  </r>
  <r>
    <s v="ORD-0209"/>
    <x v="137"/>
    <x v="5"/>
    <s v="Q2"/>
    <x v="1"/>
    <x v="0"/>
    <s v="Folders"/>
    <s v="Henry Brown"/>
    <n v="5.98"/>
    <n v="8"/>
    <x v="208"/>
    <n v="0.05"/>
    <n v="47.816080000000007"/>
    <n v="28.19"/>
    <n v="19.626080000000005"/>
    <x v="208"/>
  </r>
  <r>
    <s v="ORD-0210"/>
    <x v="67"/>
    <x v="10"/>
    <s v="Q2"/>
    <x v="1"/>
    <x v="1"/>
    <s v="Cabinet"/>
    <s v="Frank Wilson"/>
    <n v="227.98"/>
    <n v="18"/>
    <x v="209"/>
    <n v="0.05"/>
    <n v="4101.5881799999997"/>
    <n v="2141.89"/>
    <n v="1959.6981799999999"/>
    <x v="209"/>
  </r>
  <r>
    <s v="ORD-0211"/>
    <x v="128"/>
    <x v="2"/>
    <s v="Q4"/>
    <x v="3"/>
    <x v="4"/>
    <s v="Trousers"/>
    <s v="Carol White"/>
    <n v="47.04"/>
    <n v="10"/>
    <x v="210"/>
    <n v="0"/>
    <n v="470.4"/>
    <n v="252.39"/>
    <n v="218.01"/>
    <x v="210"/>
  </r>
  <r>
    <s v="ORD-0212"/>
    <x v="158"/>
    <x v="8"/>
    <s v="Q3"/>
    <x v="1"/>
    <x v="4"/>
    <s v="Jacket"/>
    <s v="David Lee"/>
    <n v="78.84"/>
    <n v="9"/>
    <x v="211"/>
    <n v="0.05"/>
    <n v="709.20522000000005"/>
    <n v="343.65"/>
    <n v="365.55522000000008"/>
    <x v="211"/>
  </r>
  <r>
    <s v="ORD-0213"/>
    <x v="154"/>
    <x v="2"/>
    <s v="Q4"/>
    <x v="2"/>
    <x v="1"/>
    <s v="Desk"/>
    <s v="David Lee"/>
    <n v="219.42"/>
    <n v="2"/>
    <x v="212"/>
    <n v="0"/>
    <n v="438.84"/>
    <n v="242.82"/>
    <n v="196.01999999999998"/>
    <x v="212"/>
  </r>
  <r>
    <s v="ORD-0214"/>
    <x v="159"/>
    <x v="11"/>
    <s v="Q4"/>
    <x v="0"/>
    <x v="1"/>
    <s v="Desk"/>
    <s v="Carol White"/>
    <n v="198.62"/>
    <n v="30"/>
    <x v="213"/>
    <n v="0.2"/>
    <n v="5946.6828000000005"/>
    <n v="3392.63"/>
    <n v="2554.0528000000004"/>
    <x v="213"/>
  </r>
  <r>
    <s v="ORD-0215"/>
    <x v="160"/>
    <x v="10"/>
    <s v="Q2"/>
    <x v="1"/>
    <x v="0"/>
    <s v="Stapler"/>
    <s v="Alice Johnson"/>
    <n v="16.25"/>
    <n v="3"/>
    <x v="214"/>
    <n v="0.05"/>
    <n v="48.725625000000001"/>
    <n v="28.46"/>
    <n v="20.265625"/>
    <x v="214"/>
  </r>
  <r>
    <s v="ORD-0216"/>
    <x v="50"/>
    <x v="11"/>
    <s v="Q4"/>
    <x v="0"/>
    <x v="1"/>
    <s v="Cabinet"/>
    <s v="Carol White"/>
    <n v="273.39"/>
    <n v="2"/>
    <x v="215"/>
    <n v="0.15"/>
    <n v="545.95983000000001"/>
    <n v="353.76"/>
    <n v="192.19983000000002"/>
    <x v="215"/>
  </r>
  <r>
    <s v="ORD-0217"/>
    <x v="161"/>
    <x v="7"/>
    <s v="Q1"/>
    <x v="1"/>
    <x v="3"/>
    <s v="Laptop"/>
    <s v="Emma Davis"/>
    <n v="236.8"/>
    <n v="4"/>
    <x v="216"/>
    <n v="0.1"/>
    <n v="946.25280000000009"/>
    <n v="493.62"/>
    <n v="452.63280000000009"/>
    <x v="216"/>
  </r>
  <r>
    <s v="ORD-0218"/>
    <x v="162"/>
    <x v="0"/>
    <s v="Q4"/>
    <x v="3"/>
    <x v="1"/>
    <s v="Lamp"/>
    <s v="Henry Brown"/>
    <n v="36.270000000000003"/>
    <n v="26"/>
    <x v="217"/>
    <n v="0"/>
    <n v="943.0200000000001"/>
    <n v="502.38"/>
    <n v="440.6400000000001"/>
    <x v="217"/>
  </r>
  <r>
    <s v="ORD-0219"/>
    <x v="163"/>
    <x v="11"/>
    <s v="Q4"/>
    <x v="1"/>
    <x v="1"/>
    <s v="Desk"/>
    <s v="Frank Wilson"/>
    <n v="233.17"/>
    <n v="19"/>
    <x v="218"/>
    <n v="0.05"/>
    <n v="4428.0148849999996"/>
    <n v="2187.9699999999998"/>
    <n v="2240.0448849999998"/>
    <x v="218"/>
  </r>
  <r>
    <s v="ORD-0220"/>
    <x v="92"/>
    <x v="0"/>
    <s v="Q4"/>
    <x v="3"/>
    <x v="2"/>
    <s v="Tennis Racket"/>
    <s v="Bob Martinez"/>
    <n v="60.52"/>
    <n v="4"/>
    <x v="219"/>
    <n v="0"/>
    <n v="242.08"/>
    <n v="168.36"/>
    <n v="73.72"/>
    <x v="219"/>
  </r>
  <r>
    <s v="ORD-0221"/>
    <x v="69"/>
    <x v="8"/>
    <s v="Q3"/>
    <x v="2"/>
    <x v="3"/>
    <s v="Keyboard"/>
    <s v="Grace Kim"/>
    <n v="30.53"/>
    <n v="25"/>
    <x v="220"/>
    <n v="0.05"/>
    <n v="762.86837500000001"/>
    <n v="525.54999999999995"/>
    <n v="237.31837500000006"/>
    <x v="220"/>
  </r>
  <r>
    <s v="ORD-0222"/>
    <x v="164"/>
    <x v="6"/>
    <s v="Q2"/>
    <x v="0"/>
    <x v="0"/>
    <s v="Stapler"/>
    <s v="David Lee"/>
    <n v="11.17"/>
    <n v="4"/>
    <x v="221"/>
    <n v="0.2"/>
    <n v="44.59064"/>
    <n v="23.54"/>
    <n v="21.050640000000001"/>
    <x v="221"/>
  </r>
  <r>
    <s v="ORD-0223"/>
    <x v="17"/>
    <x v="3"/>
    <s v="Q3"/>
    <x v="1"/>
    <x v="3"/>
    <s v="Keyboard"/>
    <s v="Frank Wilson"/>
    <n v="36.22"/>
    <n v="8"/>
    <x v="222"/>
    <n v="0"/>
    <n v="289.76"/>
    <n v="165.03"/>
    <n v="124.72999999999999"/>
    <x v="222"/>
  </r>
  <r>
    <s v="ORD-0224"/>
    <x v="165"/>
    <x v="8"/>
    <s v="Q3"/>
    <x v="1"/>
    <x v="4"/>
    <s v="Hat"/>
    <s v="Henry Brown"/>
    <n v="23.02"/>
    <n v="26"/>
    <x v="223"/>
    <n v="0.05"/>
    <n v="598.22073999999998"/>
    <n v="383.27"/>
    <n v="214.95074"/>
    <x v="223"/>
  </r>
  <r>
    <s v="ORD-0225"/>
    <x v="111"/>
    <x v="0"/>
    <s v="Q4"/>
    <x v="0"/>
    <x v="2"/>
    <s v="Jump Rope"/>
    <s v="Frank Wilson"/>
    <n v="9.39"/>
    <n v="19"/>
    <x v="224"/>
    <n v="0"/>
    <n v="178.41000000000003"/>
    <n v="83.04"/>
    <n v="95.370000000000019"/>
    <x v="224"/>
  </r>
  <r>
    <s v="ORD-0226"/>
    <x v="166"/>
    <x v="9"/>
    <s v="Q3"/>
    <x v="2"/>
    <x v="2"/>
    <s v="Water Bottle"/>
    <s v="Carol White"/>
    <n v="11.79"/>
    <n v="28"/>
    <x v="225"/>
    <n v="0.2"/>
    <n v="329.45976000000002"/>
    <n v="158.11000000000001"/>
    <n v="171.34976"/>
    <x v="225"/>
  </r>
  <r>
    <s v="ORD-0227"/>
    <x v="64"/>
    <x v="10"/>
    <s v="Q2"/>
    <x v="3"/>
    <x v="3"/>
    <s v="Webcam"/>
    <s v="Henry Brown"/>
    <n v="52.17"/>
    <n v="15"/>
    <x v="226"/>
    <n v="0"/>
    <n v="782.55000000000007"/>
    <n v="452.59"/>
    <n v="329.96000000000009"/>
    <x v="226"/>
  </r>
  <r>
    <s v="ORD-0228"/>
    <x v="167"/>
    <x v="8"/>
    <s v="Q3"/>
    <x v="0"/>
    <x v="2"/>
    <s v="Jump Rope"/>
    <s v="Emma Davis"/>
    <n v="12.62"/>
    <n v="13"/>
    <x v="227"/>
    <n v="0.05"/>
    <n v="163.97797"/>
    <n v="107.28"/>
    <n v="56.697969999999998"/>
    <x v="227"/>
  </r>
  <r>
    <s v="ORD-0229"/>
    <x v="157"/>
    <x v="11"/>
    <s v="Q4"/>
    <x v="0"/>
    <x v="3"/>
    <s v="Headphones"/>
    <s v="Frank Wilson"/>
    <n v="62.51"/>
    <n v="18"/>
    <x v="228"/>
    <n v="0"/>
    <n v="1125.18"/>
    <n v="769.22"/>
    <n v="355.96000000000004"/>
    <x v="228"/>
  </r>
  <r>
    <s v="ORD-0230"/>
    <x v="57"/>
    <x v="4"/>
    <s v="Q1"/>
    <x v="0"/>
    <x v="0"/>
    <s v="Printer Paper"/>
    <s v="Carol White"/>
    <n v="25.69"/>
    <n v="25"/>
    <x v="229"/>
    <n v="0.15"/>
    <n v="641.28662500000007"/>
    <n v="349.13"/>
    <n v="292.15662500000008"/>
    <x v="229"/>
  </r>
  <r>
    <s v="ORD-0231"/>
    <x v="20"/>
    <x v="3"/>
    <s v="Q3"/>
    <x v="3"/>
    <x v="4"/>
    <s v="T-Shirt"/>
    <s v="Carol White"/>
    <n v="18.399999999999999"/>
    <n v="12"/>
    <x v="230"/>
    <n v="0"/>
    <n v="220.79999999999998"/>
    <n v="109.22"/>
    <n v="111.57999999999998"/>
    <x v="230"/>
  </r>
  <r>
    <s v="ORD-0232"/>
    <x v="168"/>
    <x v="9"/>
    <s v="Q3"/>
    <x v="2"/>
    <x v="1"/>
    <s v="Desk"/>
    <s v="Alice Johnson"/>
    <n v="250.06"/>
    <n v="15"/>
    <x v="231"/>
    <n v="0.15"/>
    <n v="3745.2736500000001"/>
    <n v="2186.75"/>
    <n v="1558.5236500000001"/>
    <x v="231"/>
  </r>
  <r>
    <s v="ORD-0233"/>
    <x v="169"/>
    <x v="10"/>
    <s v="Q2"/>
    <x v="3"/>
    <x v="0"/>
    <s v="Pens Set"/>
    <s v="Emma Davis"/>
    <n v="4.97"/>
    <n v="29"/>
    <x v="232"/>
    <n v="0"/>
    <n v="144.13"/>
    <n v="66.040000000000006"/>
    <n v="78.089999999999989"/>
    <x v="232"/>
  </r>
  <r>
    <s v="ORD-0234"/>
    <x v="118"/>
    <x v="0"/>
    <s v="Q4"/>
    <x v="0"/>
    <x v="1"/>
    <s v="Chair"/>
    <s v="Bob Martinez"/>
    <n v="142.57"/>
    <n v="2"/>
    <x v="233"/>
    <n v="0.2"/>
    <n v="284.56971999999996"/>
    <n v="170.92"/>
    <n v="113.64971999999997"/>
    <x v="233"/>
  </r>
  <r>
    <s v="ORD-0235"/>
    <x v="50"/>
    <x v="11"/>
    <s v="Q4"/>
    <x v="0"/>
    <x v="1"/>
    <s v="Desk"/>
    <s v="Grace Kim"/>
    <n v="201.51"/>
    <n v="18"/>
    <x v="234"/>
    <n v="0.05"/>
    <n v="3625.3664100000001"/>
    <n v="2316.27"/>
    <n v="1309.0964100000001"/>
    <x v="234"/>
  </r>
  <r>
    <s v="ORD-0236"/>
    <x v="87"/>
    <x v="1"/>
    <s v="Q1"/>
    <x v="1"/>
    <x v="1"/>
    <s v="Lamp"/>
    <s v="Frank Wilson"/>
    <n v="41.61"/>
    <n v="25"/>
    <x v="235"/>
    <n v="0.1"/>
    <n v="1039.20975"/>
    <n v="529.66999999999996"/>
    <n v="509.53975000000003"/>
    <x v="235"/>
  </r>
  <r>
    <s v="ORD-0237"/>
    <x v="170"/>
    <x v="7"/>
    <s v="Q1"/>
    <x v="2"/>
    <x v="4"/>
    <s v="Trousers"/>
    <s v="Emma Davis"/>
    <n v="41.87"/>
    <n v="19"/>
    <x v="236"/>
    <n v="0"/>
    <n v="795.53"/>
    <n v="482.51"/>
    <n v="313.02"/>
    <x v="236"/>
  </r>
  <r>
    <s v="ORD-0238"/>
    <x v="120"/>
    <x v="3"/>
    <s v="Q3"/>
    <x v="3"/>
    <x v="3"/>
    <s v="Keyboard"/>
    <s v="Grace Kim"/>
    <n v="38.79"/>
    <n v="11"/>
    <x v="237"/>
    <n v="0.15"/>
    <n v="426.04996500000004"/>
    <n v="235.54"/>
    <n v="190.50996500000005"/>
    <x v="237"/>
  </r>
  <r>
    <s v="ORD-0239"/>
    <x v="171"/>
    <x v="6"/>
    <s v="Q2"/>
    <x v="2"/>
    <x v="2"/>
    <s v="Jump Rope"/>
    <s v="David Lee"/>
    <n v="13.25"/>
    <n v="10"/>
    <x v="238"/>
    <n v="0"/>
    <n v="132.5"/>
    <n v="86.29"/>
    <n v="46.209999999999994"/>
    <x v="238"/>
  </r>
  <r>
    <s v="ORD-0240"/>
    <x v="68"/>
    <x v="1"/>
    <s v="Q1"/>
    <x v="3"/>
    <x v="4"/>
    <s v="Hat"/>
    <s v="Carol White"/>
    <n v="19.7"/>
    <n v="9"/>
    <x v="239"/>
    <n v="0.05"/>
    <n v="177.21134999999998"/>
    <n v="94.4"/>
    <n v="82.811349999999976"/>
    <x v="239"/>
  </r>
  <r>
    <s v="ORD-0241"/>
    <x v="98"/>
    <x v="4"/>
    <s v="Q1"/>
    <x v="1"/>
    <x v="3"/>
    <s v="Webcam"/>
    <s v="David Lee"/>
    <n v="37.03"/>
    <n v="13"/>
    <x v="240"/>
    <n v="0"/>
    <n v="481.39"/>
    <n v="321.77"/>
    <n v="159.62"/>
    <x v="240"/>
  </r>
  <r>
    <s v="ORD-0242"/>
    <x v="47"/>
    <x v="10"/>
    <s v="Q2"/>
    <x v="2"/>
    <x v="4"/>
    <s v="Jacket"/>
    <s v="Frank Wilson"/>
    <n v="63.1"/>
    <n v="30"/>
    <x v="241"/>
    <n v="0"/>
    <n v="1893"/>
    <n v="952.02"/>
    <n v="940.98"/>
    <x v="241"/>
  </r>
  <r>
    <s v="ORD-0243"/>
    <x v="172"/>
    <x v="10"/>
    <s v="Q2"/>
    <x v="0"/>
    <x v="4"/>
    <s v="Jacket"/>
    <s v="David Lee"/>
    <n v="65.900000000000006"/>
    <n v="8"/>
    <x v="242"/>
    <n v="0.1"/>
    <n v="526.67280000000005"/>
    <n v="339.45"/>
    <n v="187.22280000000006"/>
    <x v="242"/>
  </r>
  <r>
    <s v="ORD-0244"/>
    <x v="20"/>
    <x v="3"/>
    <s v="Q3"/>
    <x v="1"/>
    <x v="0"/>
    <s v="Stapler"/>
    <s v="Frank Wilson"/>
    <n v="13.88"/>
    <n v="16"/>
    <x v="243"/>
    <n v="0.2"/>
    <n v="221.63584"/>
    <n v="105.39"/>
    <n v="116.24584"/>
    <x v="243"/>
  </r>
  <r>
    <s v="ORD-0245"/>
    <x v="159"/>
    <x v="11"/>
    <s v="Q4"/>
    <x v="1"/>
    <x v="1"/>
    <s v="Bookshelf"/>
    <s v="Frank Wilson"/>
    <n v="99.63"/>
    <n v="19"/>
    <x v="244"/>
    <n v="0.05"/>
    <n v="1892.0235149999999"/>
    <n v="1202.5899999999999"/>
    <n v="689.43351499999994"/>
    <x v="244"/>
  </r>
  <r>
    <s v="ORD-0246"/>
    <x v="173"/>
    <x v="1"/>
    <s v="Q1"/>
    <x v="3"/>
    <x v="0"/>
    <s v="Pens Set"/>
    <s v="David Lee"/>
    <n v="5.32"/>
    <n v="13"/>
    <x v="245"/>
    <n v="0.05"/>
    <n v="69.125420000000005"/>
    <n v="39.79"/>
    <n v="29.335420000000006"/>
    <x v="245"/>
  </r>
  <r>
    <s v="ORD-0247"/>
    <x v="174"/>
    <x v="0"/>
    <s v="Q4"/>
    <x v="1"/>
    <x v="0"/>
    <s v="Printer Paper"/>
    <s v="Henry Brown"/>
    <n v="22.61"/>
    <n v="24"/>
    <x v="246"/>
    <n v="0.1"/>
    <n v="542.09735999999998"/>
    <n v="267.13"/>
    <n v="274.96735999999999"/>
    <x v="246"/>
  </r>
  <r>
    <s v="ORD-0248"/>
    <x v="175"/>
    <x v="11"/>
    <s v="Q4"/>
    <x v="3"/>
    <x v="1"/>
    <s v="Lamp"/>
    <s v="Alice Johnson"/>
    <n v="40.67"/>
    <n v="27"/>
    <x v="247"/>
    <n v="0"/>
    <n v="1098.0900000000001"/>
    <n v="753.6"/>
    <n v="344.49000000000012"/>
    <x v="247"/>
  </r>
  <r>
    <s v="ORD-0249"/>
    <x v="176"/>
    <x v="0"/>
    <s v="Q4"/>
    <x v="0"/>
    <x v="4"/>
    <s v="Jacket"/>
    <s v="David Lee"/>
    <n v="56.04"/>
    <n v="5"/>
    <x v="248"/>
    <n v="0"/>
    <n v="280.2"/>
    <n v="141.41"/>
    <n v="138.79"/>
    <x v="248"/>
  </r>
  <r>
    <s v="ORD-0250"/>
    <x v="38"/>
    <x v="8"/>
    <s v="Q3"/>
    <x v="0"/>
    <x v="2"/>
    <s v="Water Bottle"/>
    <s v="Henry Brown"/>
    <n v="14.76"/>
    <n v="1"/>
    <x v="249"/>
    <n v="0"/>
    <n v="14.76"/>
    <n v="8.6"/>
    <n v="6.16"/>
    <x v="249"/>
  </r>
  <r>
    <s v="ORD-0251"/>
    <x v="177"/>
    <x v="3"/>
    <s v="Q3"/>
    <x v="0"/>
    <x v="2"/>
    <s v="Tennis Racket"/>
    <s v="Emma Davis"/>
    <n v="49.97"/>
    <n v="27"/>
    <x v="250"/>
    <n v="0.15"/>
    <n v="1347.1662150000002"/>
    <n v="879.08"/>
    <n v="468.08621500000015"/>
    <x v="250"/>
  </r>
  <r>
    <s v="ORD-0252"/>
    <x v="178"/>
    <x v="7"/>
    <s v="Q1"/>
    <x v="0"/>
    <x v="2"/>
    <s v="Dumbbells"/>
    <s v="David Lee"/>
    <n v="39.840000000000003"/>
    <n v="17"/>
    <x v="251"/>
    <n v="0.05"/>
    <n v="676.94136000000015"/>
    <n v="442.79"/>
    <n v="234.15136000000012"/>
    <x v="251"/>
  </r>
  <r>
    <s v="ORD-0253"/>
    <x v="179"/>
    <x v="6"/>
    <s v="Q2"/>
    <x v="3"/>
    <x v="3"/>
    <s v="Keyboard"/>
    <s v="Grace Kim"/>
    <n v="33.880000000000003"/>
    <n v="8"/>
    <x v="252"/>
    <n v="0.05"/>
    <n v="270.90448000000004"/>
    <n v="142.32"/>
    <n v="128.58448000000004"/>
    <x v="252"/>
  </r>
  <r>
    <s v="ORD-0254"/>
    <x v="180"/>
    <x v="4"/>
    <s v="Q1"/>
    <x v="0"/>
    <x v="3"/>
    <s v="Headphones"/>
    <s v="Grace Kim"/>
    <n v="54.43"/>
    <n v="16"/>
    <x v="253"/>
    <n v="0"/>
    <n v="870.88"/>
    <n v="530.52"/>
    <n v="340.36"/>
    <x v="253"/>
  </r>
  <r>
    <s v="ORD-0255"/>
    <x v="46"/>
    <x v="11"/>
    <s v="Q4"/>
    <x v="0"/>
    <x v="4"/>
    <s v="Shoes"/>
    <s v="Frank Wilson"/>
    <n v="82.8"/>
    <n v="28"/>
    <x v="254"/>
    <n v="0"/>
    <n v="2318.4"/>
    <n v="1561.99"/>
    <n v="756.41000000000008"/>
    <x v="254"/>
  </r>
  <r>
    <s v="ORD-0256"/>
    <x v="181"/>
    <x v="1"/>
    <s v="Q1"/>
    <x v="2"/>
    <x v="2"/>
    <s v="Jump Rope"/>
    <s v="Emma Davis"/>
    <n v="9.23"/>
    <n v="3"/>
    <x v="255"/>
    <n v="0.05"/>
    <n v="27.676155000000001"/>
    <n v="18.690000000000001"/>
    <n v="8.9861550000000001"/>
    <x v="255"/>
  </r>
  <r>
    <s v="ORD-0257"/>
    <x v="128"/>
    <x v="2"/>
    <s v="Q4"/>
    <x v="0"/>
    <x v="1"/>
    <s v="Bookshelf"/>
    <s v="Alice Johnson"/>
    <n v="124.27"/>
    <n v="19"/>
    <x v="256"/>
    <n v="0"/>
    <n v="2361.13"/>
    <n v="1506.5"/>
    <n v="854.63000000000011"/>
    <x v="256"/>
  </r>
  <r>
    <s v="ORD-0258"/>
    <x v="182"/>
    <x v="11"/>
    <s v="Q4"/>
    <x v="3"/>
    <x v="3"/>
    <s v="Keyboard"/>
    <s v="Carol White"/>
    <n v="35.46"/>
    <n v="19"/>
    <x v="257"/>
    <n v="0.15"/>
    <n v="672.72939000000008"/>
    <n v="417.21"/>
    <n v="255.5193900000001"/>
    <x v="257"/>
  </r>
  <r>
    <s v="ORD-0259"/>
    <x v="183"/>
    <x v="9"/>
    <s v="Q3"/>
    <x v="3"/>
    <x v="1"/>
    <s v="Desk"/>
    <s v="Frank Wilson"/>
    <n v="166.83"/>
    <n v="14"/>
    <x v="258"/>
    <n v="0.05"/>
    <n v="2334.4521900000004"/>
    <n v="1540.76"/>
    <n v="793.69219000000044"/>
    <x v="258"/>
  </r>
  <r>
    <s v="ORD-0260"/>
    <x v="184"/>
    <x v="5"/>
    <s v="Q2"/>
    <x v="3"/>
    <x v="0"/>
    <s v="Notebook"/>
    <s v="Emma Davis"/>
    <n v="10.33"/>
    <n v="15"/>
    <x v="259"/>
    <n v="0.2"/>
    <n v="154.64009999999999"/>
    <n v="78.599999999999994"/>
    <n v="76.040099999999995"/>
    <x v="259"/>
  </r>
  <r>
    <s v="ORD-0261"/>
    <x v="168"/>
    <x v="9"/>
    <s v="Q3"/>
    <x v="3"/>
    <x v="1"/>
    <s v="Lamp"/>
    <s v="Grace Kim"/>
    <n v="33"/>
    <n v="20"/>
    <x v="260"/>
    <n v="0.05"/>
    <n v="659.67000000000007"/>
    <n v="428.67"/>
    <n v="231.00000000000006"/>
    <x v="260"/>
  </r>
  <r>
    <s v="ORD-0262"/>
    <x v="90"/>
    <x v="11"/>
    <s v="Q4"/>
    <x v="0"/>
    <x v="0"/>
    <s v="Pens Set"/>
    <s v="Grace Kim"/>
    <n v="6.28"/>
    <n v="21"/>
    <x v="261"/>
    <n v="0"/>
    <n v="131.88"/>
    <n v="83.72"/>
    <n v="48.16"/>
    <x v="261"/>
  </r>
  <r>
    <s v="ORD-0263"/>
    <x v="185"/>
    <x v="5"/>
    <s v="Q2"/>
    <x v="0"/>
    <x v="3"/>
    <s v="Laptop"/>
    <s v="Emma Davis"/>
    <n v="224.47"/>
    <n v="25"/>
    <x v="262"/>
    <n v="0.05"/>
    <n v="5608.944125"/>
    <n v="2668.75"/>
    <n v="2940.194125"/>
    <x v="262"/>
  </r>
  <r>
    <s v="ORD-0264"/>
    <x v="73"/>
    <x v="4"/>
    <s v="Q1"/>
    <x v="3"/>
    <x v="4"/>
    <s v="Hat"/>
    <s v="Grace Kim"/>
    <n v="17.13"/>
    <n v="3"/>
    <x v="263"/>
    <n v="0.1"/>
    <n v="51.338610000000003"/>
    <n v="30.25"/>
    <n v="21.088610000000003"/>
    <x v="263"/>
  </r>
  <r>
    <s v="ORD-0265"/>
    <x v="117"/>
    <x v="2"/>
    <s v="Q4"/>
    <x v="1"/>
    <x v="4"/>
    <s v="T-Shirt"/>
    <s v="Emma Davis"/>
    <n v="16.600000000000001"/>
    <n v="25"/>
    <x v="264"/>
    <n v="0"/>
    <n v="415.00000000000006"/>
    <n v="262.01"/>
    <n v="152.99000000000007"/>
    <x v="264"/>
  </r>
  <r>
    <s v="ORD-0266"/>
    <x v="74"/>
    <x v="9"/>
    <s v="Q3"/>
    <x v="2"/>
    <x v="4"/>
    <s v="Jacket"/>
    <s v="Carol White"/>
    <n v="62.07"/>
    <n v="9"/>
    <x v="265"/>
    <n v="0.2"/>
    <n v="557.51274000000001"/>
    <n v="271.75"/>
    <n v="285.76274000000001"/>
    <x v="265"/>
  </r>
  <r>
    <s v="ORD-0267"/>
    <x v="146"/>
    <x v="7"/>
    <s v="Q1"/>
    <x v="1"/>
    <x v="4"/>
    <s v="Trousers"/>
    <s v="Henry Brown"/>
    <n v="58.11"/>
    <n v="12"/>
    <x v="266"/>
    <n v="0.05"/>
    <n v="696.97133999999994"/>
    <n v="478.4"/>
    <n v="218.57133999999996"/>
    <x v="266"/>
  </r>
  <r>
    <s v="ORD-0268"/>
    <x v="186"/>
    <x v="11"/>
    <s v="Q4"/>
    <x v="3"/>
    <x v="2"/>
    <s v="Water Bottle"/>
    <s v="David Lee"/>
    <n v="13.55"/>
    <n v="5"/>
    <x v="267"/>
    <n v="0.05"/>
    <n v="67.716125000000005"/>
    <n v="30.6"/>
    <n v="37.116125000000004"/>
    <x v="267"/>
  </r>
  <r>
    <s v="ORD-0269"/>
    <x v="55"/>
    <x v="3"/>
    <s v="Q3"/>
    <x v="3"/>
    <x v="0"/>
    <s v="Printer Paper"/>
    <s v="Frank Wilson"/>
    <n v="22.31"/>
    <n v="27"/>
    <x v="268"/>
    <n v="0"/>
    <n v="602.37"/>
    <n v="316.26"/>
    <n v="286.11"/>
    <x v="268"/>
  </r>
  <r>
    <s v="ORD-0270"/>
    <x v="63"/>
    <x v="2"/>
    <s v="Q4"/>
    <x v="2"/>
    <x v="4"/>
    <s v="Trousers"/>
    <s v="Carol White"/>
    <n v="62.2"/>
    <n v="11"/>
    <x v="269"/>
    <n v="0.05"/>
    <n v="683.85790000000009"/>
    <n v="433.61"/>
    <n v="250.24790000000007"/>
    <x v="269"/>
  </r>
  <r>
    <s v="ORD-0271"/>
    <x v="187"/>
    <x v="0"/>
    <s v="Q4"/>
    <x v="2"/>
    <x v="0"/>
    <s v="Printer Paper"/>
    <s v="Emma Davis"/>
    <n v="26.16"/>
    <n v="13"/>
    <x v="270"/>
    <n v="0.1"/>
    <n v="339.73991999999998"/>
    <n v="162.75"/>
    <n v="176.98991999999998"/>
    <x v="270"/>
  </r>
  <r>
    <s v="ORD-0272"/>
    <x v="188"/>
    <x v="2"/>
    <s v="Q4"/>
    <x v="2"/>
    <x v="2"/>
    <s v="Yoga Mat"/>
    <s v="Henry Brown"/>
    <n v="34.29"/>
    <n v="7"/>
    <x v="271"/>
    <n v="0.2"/>
    <n v="239.54993999999999"/>
    <n v="155.87"/>
    <n v="83.679939999999988"/>
    <x v="271"/>
  </r>
  <r>
    <s v="ORD-0273"/>
    <x v="90"/>
    <x v="11"/>
    <s v="Q4"/>
    <x v="3"/>
    <x v="4"/>
    <s v="Jacket"/>
    <s v="Emma Davis"/>
    <n v="61.26"/>
    <n v="22"/>
    <x v="272"/>
    <n v="0"/>
    <n v="1347.72"/>
    <n v="847.47"/>
    <n v="500.25"/>
    <x v="272"/>
  </r>
  <r>
    <s v="ORD-0274"/>
    <x v="4"/>
    <x v="3"/>
    <s v="Q3"/>
    <x v="3"/>
    <x v="2"/>
    <s v="Jump Rope"/>
    <s v="Grace Kim"/>
    <n v="11.67"/>
    <n v="30"/>
    <x v="273"/>
    <n v="0.15"/>
    <n v="349.57485000000003"/>
    <n v="205.16"/>
    <n v="144.41485000000003"/>
    <x v="273"/>
  </r>
  <r>
    <s v="ORD-0275"/>
    <x v="126"/>
    <x v="5"/>
    <s v="Q2"/>
    <x v="0"/>
    <x v="3"/>
    <s v="Monitor"/>
    <s v="Frank Wilson"/>
    <n v="117.98"/>
    <n v="20"/>
    <x v="274"/>
    <n v="0"/>
    <n v="2359.6"/>
    <n v="1394.07"/>
    <n v="965.53"/>
    <x v="274"/>
  </r>
  <r>
    <s v="ORD-0276"/>
    <x v="174"/>
    <x v="0"/>
    <s v="Q4"/>
    <x v="3"/>
    <x v="0"/>
    <s v="Printer Paper"/>
    <s v="Bob Martinez"/>
    <n v="18.11"/>
    <n v="9"/>
    <x v="275"/>
    <n v="0.05"/>
    <n v="162.90850500000002"/>
    <n v="94.13"/>
    <n v="68.778505000000024"/>
    <x v="275"/>
  </r>
  <r>
    <s v="ORD-0277"/>
    <x v="189"/>
    <x v="9"/>
    <s v="Q3"/>
    <x v="2"/>
    <x v="4"/>
    <s v="Trousers"/>
    <s v="Grace Kim"/>
    <n v="50.92"/>
    <n v="22"/>
    <x v="276"/>
    <n v="0"/>
    <n v="1120.24"/>
    <n v="600.71"/>
    <n v="519.53"/>
    <x v="276"/>
  </r>
  <r>
    <s v="ORD-0278"/>
    <x v="148"/>
    <x v="1"/>
    <s v="Q1"/>
    <x v="0"/>
    <x v="0"/>
    <s v="Printer Paper"/>
    <s v="Bob Martinez"/>
    <n v="19.16"/>
    <n v="24"/>
    <x v="277"/>
    <n v="0"/>
    <n v="459.84000000000003"/>
    <n v="246.98"/>
    <n v="212.86000000000004"/>
    <x v="277"/>
  </r>
  <r>
    <s v="ORD-0279"/>
    <x v="190"/>
    <x v="5"/>
    <s v="Q2"/>
    <x v="2"/>
    <x v="2"/>
    <s v="Jump Rope"/>
    <s v="Frank Wilson"/>
    <n v="11.38"/>
    <n v="15"/>
    <x v="278"/>
    <n v="0.2"/>
    <n v="170.35860000000002"/>
    <n v="90.43"/>
    <n v="79.928600000000017"/>
    <x v="278"/>
  </r>
  <r>
    <s v="ORD-0280"/>
    <x v="101"/>
    <x v="6"/>
    <s v="Q2"/>
    <x v="0"/>
    <x v="3"/>
    <s v="Keyboard"/>
    <s v="Bob Martinez"/>
    <n v="37.159999999999997"/>
    <n v="6"/>
    <x v="279"/>
    <n v="0.05"/>
    <n v="222.84851999999998"/>
    <n v="129.08000000000001"/>
    <n v="93.768519999999967"/>
    <x v="279"/>
  </r>
  <r>
    <s v="ORD-0281"/>
    <x v="191"/>
    <x v="9"/>
    <s v="Q3"/>
    <x v="1"/>
    <x v="2"/>
    <s v="Jump Rope"/>
    <s v="Henry Brown"/>
    <n v="10.16"/>
    <n v="13"/>
    <x v="280"/>
    <n v="0"/>
    <n v="132.08000000000001"/>
    <n v="65.59"/>
    <n v="66.490000000000009"/>
    <x v="280"/>
  </r>
  <r>
    <s v="ORD-0282"/>
    <x v="118"/>
    <x v="0"/>
    <s v="Q4"/>
    <x v="3"/>
    <x v="3"/>
    <s v="Webcam"/>
    <s v="David Lee"/>
    <n v="44.99"/>
    <n v="14"/>
    <x v="281"/>
    <n v="0.15"/>
    <n v="628.91521"/>
    <n v="284.14999999999998"/>
    <n v="344.76521000000002"/>
    <x v="281"/>
  </r>
  <r>
    <s v="ORD-0283"/>
    <x v="58"/>
    <x v="10"/>
    <s v="Q2"/>
    <x v="1"/>
    <x v="3"/>
    <s v="Webcam"/>
    <s v="Bob Martinez"/>
    <n v="51.99"/>
    <n v="18"/>
    <x v="282"/>
    <n v="0"/>
    <n v="935.82"/>
    <n v="506.7"/>
    <n v="429.12000000000006"/>
    <x v="282"/>
  </r>
  <r>
    <s v="ORD-0284"/>
    <x v="59"/>
    <x v="10"/>
    <s v="Q2"/>
    <x v="0"/>
    <x v="0"/>
    <s v="Printer Paper"/>
    <s v="Frank Wilson"/>
    <n v="23.97"/>
    <n v="20"/>
    <x v="283"/>
    <n v="0.15"/>
    <n v="478.68090000000001"/>
    <n v="286.08"/>
    <n v="192.60090000000002"/>
    <x v="283"/>
  </r>
  <r>
    <s v="ORD-0285"/>
    <x v="185"/>
    <x v="5"/>
    <s v="Q2"/>
    <x v="3"/>
    <x v="2"/>
    <s v="Dumbbells"/>
    <s v="Emma Davis"/>
    <n v="54.37"/>
    <n v="19"/>
    <x v="284"/>
    <n v="0"/>
    <n v="1033.03"/>
    <n v="638.48"/>
    <n v="394.54999999999995"/>
    <x v="284"/>
  </r>
  <r>
    <s v="ORD-0286"/>
    <x v="12"/>
    <x v="5"/>
    <s v="Q2"/>
    <x v="2"/>
    <x v="0"/>
    <s v="Notebook"/>
    <s v="Carol White"/>
    <n v="8.69"/>
    <n v="5"/>
    <x v="285"/>
    <n v="0.15"/>
    <n v="43.384824999999999"/>
    <n v="24.1"/>
    <n v="19.284824999999998"/>
    <x v="285"/>
  </r>
  <r>
    <s v="ORD-0287"/>
    <x v="77"/>
    <x v="7"/>
    <s v="Q1"/>
    <x v="3"/>
    <x v="4"/>
    <s v="Jacket"/>
    <s v="Henry Brown"/>
    <n v="73.069999999999993"/>
    <n v="23"/>
    <x v="286"/>
    <n v="0"/>
    <n v="1680.61"/>
    <n v="989.36"/>
    <n v="691.24999999999989"/>
    <x v="286"/>
  </r>
  <r>
    <s v="ORD-0288"/>
    <x v="24"/>
    <x v="8"/>
    <s v="Q3"/>
    <x v="2"/>
    <x v="1"/>
    <s v="Bookshelf"/>
    <s v="Henry Brown"/>
    <n v="108.87"/>
    <n v="28"/>
    <x v="287"/>
    <n v="0.1"/>
    <n v="3045.3116399999999"/>
    <n v="2097.2199999999998"/>
    <n v="948.0916400000001"/>
    <x v="287"/>
  </r>
  <r>
    <s v="ORD-0289"/>
    <x v="192"/>
    <x v="8"/>
    <s v="Q3"/>
    <x v="2"/>
    <x v="4"/>
    <s v="Hat"/>
    <s v="Henry Brown"/>
    <n v="19.88"/>
    <n v="16"/>
    <x v="288"/>
    <n v="0.15"/>
    <n v="317.60288000000003"/>
    <n v="199.63"/>
    <n v="117.97288000000003"/>
    <x v="288"/>
  </r>
  <r>
    <s v="ORD-0290"/>
    <x v="23"/>
    <x v="8"/>
    <s v="Q3"/>
    <x v="2"/>
    <x v="3"/>
    <s v="Webcam"/>
    <s v="Alice Johnson"/>
    <n v="51.92"/>
    <n v="8"/>
    <x v="289"/>
    <n v="0.05"/>
    <n v="415.15232000000003"/>
    <n v="190.3"/>
    <n v="224.85232000000002"/>
    <x v="289"/>
  </r>
  <r>
    <s v="ORD-0291"/>
    <x v="21"/>
    <x v="10"/>
    <s v="Q2"/>
    <x v="1"/>
    <x v="1"/>
    <s v="Cabinet"/>
    <s v="Henry Brown"/>
    <n v="234.97"/>
    <n v="4"/>
    <x v="290"/>
    <n v="0"/>
    <n v="939.88"/>
    <n v="485.9"/>
    <n v="453.98"/>
    <x v="290"/>
  </r>
  <r>
    <s v="ORD-0292"/>
    <x v="193"/>
    <x v="9"/>
    <s v="Q3"/>
    <x v="1"/>
    <x v="2"/>
    <s v="Yoga Mat"/>
    <s v="Henry Brown"/>
    <n v="29.33"/>
    <n v="14"/>
    <x v="291"/>
    <n v="0"/>
    <n v="410.62"/>
    <n v="260.33"/>
    <n v="150.29000000000002"/>
    <x v="291"/>
  </r>
  <r>
    <s v="ORD-0293"/>
    <x v="111"/>
    <x v="0"/>
    <s v="Q4"/>
    <x v="2"/>
    <x v="0"/>
    <s v="Notebook"/>
    <s v="Henry Brown"/>
    <n v="8.25"/>
    <n v="28"/>
    <x v="292"/>
    <n v="0"/>
    <n v="231"/>
    <n v="129.33000000000001"/>
    <n v="101.66999999999999"/>
    <x v="292"/>
  </r>
  <r>
    <s v="ORD-0294"/>
    <x v="39"/>
    <x v="4"/>
    <s v="Q1"/>
    <x v="2"/>
    <x v="1"/>
    <s v="Lamp"/>
    <s v="Frank Wilson"/>
    <n v="46.57"/>
    <n v="20"/>
    <x v="293"/>
    <n v="0.15"/>
    <n v="930.00290000000007"/>
    <n v="457.76"/>
    <n v="472.24290000000008"/>
    <x v="293"/>
  </r>
  <r>
    <s v="ORD-0295"/>
    <x v="194"/>
    <x v="7"/>
    <s v="Q1"/>
    <x v="2"/>
    <x v="1"/>
    <s v="Desk"/>
    <s v="Frank Wilson"/>
    <n v="209.91"/>
    <n v="20"/>
    <x v="294"/>
    <n v="0"/>
    <n v="4198.2"/>
    <n v="2228.83"/>
    <n v="1969.37"/>
    <x v="294"/>
  </r>
  <r>
    <s v="ORD-0296"/>
    <x v="195"/>
    <x v="11"/>
    <s v="Q4"/>
    <x v="1"/>
    <x v="2"/>
    <s v="Tennis Racket"/>
    <s v="Bob Martinez"/>
    <n v="53.23"/>
    <n v="25"/>
    <x v="295"/>
    <n v="0.15"/>
    <n v="1328.7538750000001"/>
    <n v="904.48"/>
    <n v="424.27387500000009"/>
    <x v="295"/>
  </r>
  <r>
    <s v="ORD-0297"/>
    <x v="33"/>
    <x v="6"/>
    <s v="Q2"/>
    <x v="2"/>
    <x v="1"/>
    <s v="Chair"/>
    <s v="Carol White"/>
    <n v="188.35"/>
    <n v="27"/>
    <x v="296"/>
    <n v="0.05"/>
    <n v="5082.9072750000005"/>
    <n v="3256.64"/>
    <n v="1826.2672750000006"/>
    <x v="296"/>
  </r>
  <r>
    <s v="ORD-0298"/>
    <x v="92"/>
    <x v="0"/>
    <s v="Q4"/>
    <x v="3"/>
    <x v="1"/>
    <s v="Lamp"/>
    <s v="Emma Davis"/>
    <n v="42.49"/>
    <n v="13"/>
    <x v="297"/>
    <n v="0.2"/>
    <n v="551.26526000000001"/>
    <n v="258.97000000000003"/>
    <n v="292.29525999999998"/>
    <x v="297"/>
  </r>
  <r>
    <s v="ORD-0299"/>
    <x v="196"/>
    <x v="4"/>
    <s v="Q1"/>
    <x v="1"/>
    <x v="0"/>
    <s v="Printer Paper"/>
    <s v="Henry Brown"/>
    <n v="21.27"/>
    <n v="1"/>
    <x v="298"/>
    <n v="0"/>
    <n v="21.27"/>
    <n v="13.46"/>
    <n v="7.8099999999999987"/>
    <x v="298"/>
  </r>
  <r>
    <s v="ORD-0300"/>
    <x v="158"/>
    <x v="8"/>
    <s v="Q3"/>
    <x v="1"/>
    <x v="3"/>
    <s v="Webcam"/>
    <s v="Grace Kim"/>
    <n v="40.36"/>
    <n v="14"/>
    <x v="299"/>
    <n v="0.05"/>
    <n v="564.75747999999999"/>
    <n v="324.12"/>
    <n v="240.63747999999998"/>
    <x v="29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F63B6B-62A0-48D9-8F87-6DEFCDBEC68A}"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29:G35" firstHeaderRow="1" firstDataRow="2" firstDataCol="1"/>
  <pivotFields count="16">
    <pivotField showAll="0"/>
    <pivotField numFmtId="166" showAll="0">
      <items count="198">
        <item x="1"/>
        <item x="108"/>
        <item x="87"/>
        <item x="106"/>
        <item x="181"/>
        <item x="173"/>
        <item x="45"/>
        <item x="122"/>
        <item x="148"/>
        <item x="68"/>
        <item x="10"/>
        <item x="29"/>
        <item x="113"/>
        <item x="97"/>
        <item x="73"/>
        <item x="8"/>
        <item x="81"/>
        <item x="40"/>
        <item x="95"/>
        <item x="109"/>
        <item x="196"/>
        <item x="98"/>
        <item x="57"/>
        <item x="130"/>
        <item x="91"/>
        <item x="180"/>
        <item x="149"/>
        <item x="32"/>
        <item x="39"/>
        <item x="5"/>
        <item x="178"/>
        <item x="105"/>
        <item x="9"/>
        <item x="132"/>
        <item x="78"/>
        <item x="146"/>
        <item x="140"/>
        <item x="13"/>
        <item x="134"/>
        <item x="77"/>
        <item x="170"/>
        <item x="161"/>
        <item x="133"/>
        <item x="194"/>
        <item x="143"/>
        <item x="58"/>
        <item x="169"/>
        <item x="67"/>
        <item x="131"/>
        <item x="52"/>
        <item x="59"/>
        <item x="80"/>
        <item x="21"/>
        <item x="15"/>
        <item x="152"/>
        <item x="103"/>
        <item x="28"/>
        <item x="64"/>
        <item x="172"/>
        <item x="160"/>
        <item x="47"/>
        <item x="53"/>
        <item x="36"/>
        <item x="101"/>
        <item x="125"/>
        <item x="34"/>
        <item x="119"/>
        <item x="144"/>
        <item x="171"/>
        <item x="82"/>
        <item x="51"/>
        <item x="164"/>
        <item x="147"/>
        <item x="7"/>
        <item x="65"/>
        <item x="84"/>
        <item x="93"/>
        <item x="179"/>
        <item x="96"/>
        <item x="33"/>
        <item x="116"/>
        <item x="30"/>
        <item x="12"/>
        <item x="6"/>
        <item x="79"/>
        <item x="54"/>
        <item x="155"/>
        <item x="185"/>
        <item x="41"/>
        <item x="190"/>
        <item x="107"/>
        <item x="137"/>
        <item x="35"/>
        <item x="184"/>
        <item x="145"/>
        <item x="100"/>
        <item x="126"/>
        <item x="136"/>
        <item x="89"/>
        <item x="177"/>
        <item x="86"/>
        <item x="4"/>
        <item x="3"/>
        <item x="61"/>
        <item x="151"/>
        <item x="142"/>
        <item x="55"/>
        <item x="114"/>
        <item x="20"/>
        <item x="120"/>
        <item x="71"/>
        <item x="129"/>
        <item x="17"/>
        <item x="37"/>
        <item x="88"/>
        <item x="99"/>
        <item x="138"/>
        <item x="121"/>
        <item x="150"/>
        <item x="192"/>
        <item x="115"/>
        <item x="66"/>
        <item x="24"/>
        <item x="69"/>
        <item x="38"/>
        <item x="23"/>
        <item x="11"/>
        <item x="16"/>
        <item x="167"/>
        <item x="158"/>
        <item x="49"/>
        <item x="165"/>
        <item x="62"/>
        <item x="14"/>
        <item x="25"/>
        <item x="26"/>
        <item x="22"/>
        <item x="44"/>
        <item x="191"/>
        <item x="104"/>
        <item x="74"/>
        <item x="183"/>
        <item x="168"/>
        <item x="153"/>
        <item x="139"/>
        <item x="166"/>
        <item x="189"/>
        <item x="42"/>
        <item x="83"/>
        <item x="85"/>
        <item x="193"/>
        <item x="72"/>
        <item x="124"/>
        <item x="127"/>
        <item x="188"/>
        <item x="27"/>
        <item x="2"/>
        <item x="75"/>
        <item x="123"/>
        <item x="135"/>
        <item x="110"/>
        <item x="18"/>
        <item x="56"/>
        <item x="117"/>
        <item x="70"/>
        <item x="128"/>
        <item x="63"/>
        <item x="154"/>
        <item x="141"/>
        <item x="176"/>
        <item x="0"/>
        <item x="156"/>
        <item x="60"/>
        <item x="102"/>
        <item x="92"/>
        <item x="118"/>
        <item x="187"/>
        <item x="31"/>
        <item x="162"/>
        <item x="48"/>
        <item x="174"/>
        <item x="111"/>
        <item x="76"/>
        <item x="43"/>
        <item x="90"/>
        <item x="112"/>
        <item x="46"/>
        <item x="157"/>
        <item x="195"/>
        <item x="163"/>
        <item x="159"/>
        <item x="175"/>
        <item x="19"/>
        <item x="186"/>
        <item x="94"/>
        <item x="182"/>
        <item x="50"/>
        <item t="default"/>
      </items>
    </pivotField>
    <pivotField showAll="0"/>
    <pivotField showAll="0"/>
    <pivotField axis="axisRow" showAll="0">
      <items count="5">
        <item x="1"/>
        <item x="0"/>
        <item x="2"/>
        <item x="3"/>
        <item t="default"/>
      </items>
    </pivotField>
    <pivotField axis="axisCol" showAll="0">
      <items count="6">
        <item x="4"/>
        <item x="3"/>
        <item x="1"/>
        <item x="0"/>
        <item x="2"/>
        <item t="default"/>
      </items>
    </pivotField>
    <pivotField showAll="0"/>
    <pivotField showAll="0"/>
    <pivotField numFmtId="167" showAll="0"/>
    <pivotField numFmtId="3" showAll="0"/>
    <pivotField numFmtId="167" showAll="0"/>
    <pivotField numFmtId="9" showAll="0"/>
    <pivotField dataField="1" numFmtId="167" showAll="0"/>
    <pivotField numFmtId="167" showAll="0"/>
    <pivotField numFmtId="167" showAll="0"/>
    <pivotField numFmtId="164" showAll="0"/>
  </pivotFields>
  <rowFields count="1">
    <field x="4"/>
  </rowFields>
  <rowItems count="5">
    <i>
      <x/>
    </i>
    <i>
      <x v="1"/>
    </i>
    <i>
      <x v="2"/>
    </i>
    <i>
      <x v="3"/>
    </i>
    <i t="grand">
      <x/>
    </i>
  </rowItems>
  <colFields count="1">
    <field x="5"/>
  </colFields>
  <colItems count="6">
    <i>
      <x/>
    </i>
    <i>
      <x v="1"/>
    </i>
    <i>
      <x v="2"/>
    </i>
    <i>
      <x v="3"/>
    </i>
    <i>
      <x v="4"/>
    </i>
    <i t="grand">
      <x/>
    </i>
  </colItems>
  <dataFields count="1">
    <dataField name="Sum of Net Revenue" fld="12" baseField="4" baseItem="0" numFmtId="3"/>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9" format="10" series="1">
      <pivotArea type="data" outline="0" fieldPosition="0">
        <references count="2">
          <reference field="4294967294" count="1" selected="0">
            <x v="0"/>
          </reference>
          <reference field="5" count="1" selected="0">
            <x v="0"/>
          </reference>
        </references>
      </pivotArea>
    </chartFormat>
    <chartFormat chart="9" format="11" series="1">
      <pivotArea type="data" outline="0" fieldPosition="0">
        <references count="2">
          <reference field="4294967294" count="1" selected="0">
            <x v="0"/>
          </reference>
          <reference field="5" count="1" selected="0">
            <x v="1"/>
          </reference>
        </references>
      </pivotArea>
    </chartFormat>
    <chartFormat chart="9" format="12" series="1">
      <pivotArea type="data" outline="0" fieldPosition="0">
        <references count="2">
          <reference field="4294967294" count="1" selected="0">
            <x v="0"/>
          </reference>
          <reference field="5" count="1" selected="0">
            <x v="2"/>
          </reference>
        </references>
      </pivotArea>
    </chartFormat>
    <chartFormat chart="9" format="13" series="1">
      <pivotArea type="data" outline="0" fieldPosition="0">
        <references count="2">
          <reference field="4294967294" count="1" selected="0">
            <x v="0"/>
          </reference>
          <reference field="5" count="1" selected="0">
            <x v="3"/>
          </reference>
        </references>
      </pivotArea>
    </chartFormat>
    <chartFormat chart="9" format="14" series="1">
      <pivotArea type="data" outline="0" fieldPosition="0">
        <references count="2">
          <reference field="4294967294" count="1" selected="0">
            <x v="0"/>
          </reference>
          <reference field="5"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109D4E-63F7-4B7D-89CA-A9BDA8097A6B}" name="PivotTable6"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1:G7" firstHeaderRow="1" firstDataRow="2" firstDataCol="1"/>
  <pivotFields count="16">
    <pivotField showAll="0"/>
    <pivotField numFmtId="166" showAll="0">
      <items count="198">
        <item x="1"/>
        <item x="108"/>
        <item x="87"/>
        <item x="106"/>
        <item x="181"/>
        <item x="173"/>
        <item x="45"/>
        <item x="122"/>
        <item x="148"/>
        <item x="68"/>
        <item x="10"/>
        <item x="29"/>
        <item x="113"/>
        <item x="97"/>
        <item x="73"/>
        <item x="8"/>
        <item x="81"/>
        <item x="40"/>
        <item x="95"/>
        <item x="109"/>
        <item x="196"/>
        <item x="98"/>
        <item x="57"/>
        <item x="130"/>
        <item x="91"/>
        <item x="180"/>
        <item x="149"/>
        <item x="32"/>
        <item x="39"/>
        <item x="5"/>
        <item x="178"/>
        <item x="105"/>
        <item x="9"/>
        <item x="132"/>
        <item x="78"/>
        <item x="146"/>
        <item x="140"/>
        <item x="13"/>
        <item x="134"/>
        <item x="77"/>
        <item x="170"/>
        <item x="161"/>
        <item x="133"/>
        <item x="194"/>
        <item x="143"/>
        <item x="58"/>
        <item x="169"/>
        <item x="67"/>
        <item x="131"/>
        <item x="52"/>
        <item x="59"/>
        <item x="80"/>
        <item x="21"/>
        <item x="15"/>
        <item x="152"/>
        <item x="103"/>
        <item x="28"/>
        <item x="64"/>
        <item x="172"/>
        <item x="160"/>
        <item x="47"/>
        <item x="53"/>
        <item x="36"/>
        <item x="101"/>
        <item x="125"/>
        <item x="34"/>
        <item x="119"/>
        <item x="144"/>
        <item x="171"/>
        <item x="82"/>
        <item x="51"/>
        <item x="164"/>
        <item x="147"/>
        <item x="7"/>
        <item x="65"/>
        <item x="84"/>
        <item x="93"/>
        <item x="179"/>
        <item x="96"/>
        <item x="33"/>
        <item x="116"/>
        <item x="30"/>
        <item x="12"/>
        <item x="6"/>
        <item x="79"/>
        <item x="54"/>
        <item x="155"/>
        <item x="185"/>
        <item x="41"/>
        <item x="190"/>
        <item x="107"/>
        <item x="137"/>
        <item x="35"/>
        <item x="184"/>
        <item x="145"/>
        <item x="100"/>
        <item x="126"/>
        <item x="136"/>
        <item x="89"/>
        <item x="177"/>
        <item x="86"/>
        <item x="4"/>
        <item x="3"/>
        <item x="61"/>
        <item x="151"/>
        <item x="142"/>
        <item x="55"/>
        <item x="114"/>
        <item x="20"/>
        <item x="120"/>
        <item x="71"/>
        <item x="129"/>
        <item x="17"/>
        <item x="37"/>
        <item x="88"/>
        <item x="99"/>
        <item x="138"/>
        <item x="121"/>
        <item x="150"/>
        <item x="192"/>
        <item x="115"/>
        <item x="66"/>
        <item x="24"/>
        <item x="69"/>
        <item x="38"/>
        <item x="23"/>
        <item x="11"/>
        <item x="16"/>
        <item x="167"/>
        <item x="158"/>
        <item x="49"/>
        <item x="165"/>
        <item x="62"/>
        <item x="14"/>
        <item x="25"/>
        <item x="26"/>
        <item x="22"/>
        <item x="44"/>
        <item x="191"/>
        <item x="104"/>
        <item x="74"/>
        <item x="183"/>
        <item x="168"/>
        <item x="153"/>
        <item x="139"/>
        <item x="166"/>
        <item x="189"/>
        <item x="42"/>
        <item x="83"/>
        <item x="85"/>
        <item x="193"/>
        <item x="72"/>
        <item x="124"/>
        <item x="127"/>
        <item x="188"/>
        <item x="27"/>
        <item x="2"/>
        <item x="75"/>
        <item x="123"/>
        <item x="135"/>
        <item x="110"/>
        <item x="18"/>
        <item x="56"/>
        <item x="117"/>
        <item x="70"/>
        <item x="128"/>
        <item x="63"/>
        <item x="154"/>
        <item x="141"/>
        <item x="176"/>
        <item x="0"/>
        <item x="156"/>
        <item x="60"/>
        <item x="102"/>
        <item x="92"/>
        <item x="118"/>
        <item x="187"/>
        <item x="31"/>
        <item x="162"/>
        <item x="48"/>
        <item x="174"/>
        <item x="111"/>
        <item x="76"/>
        <item x="43"/>
        <item x="90"/>
        <item x="112"/>
        <item x="46"/>
        <item x="157"/>
        <item x="195"/>
        <item x="163"/>
        <item x="159"/>
        <item x="175"/>
        <item x="19"/>
        <item x="186"/>
        <item x="94"/>
        <item x="182"/>
        <item x="50"/>
        <item t="default"/>
      </items>
    </pivotField>
    <pivotField showAll="0"/>
    <pivotField showAll="0"/>
    <pivotField axis="axisRow" showAll="0">
      <items count="5">
        <item x="1"/>
        <item x="0"/>
        <item x="2"/>
        <item x="3"/>
        <item t="default"/>
      </items>
    </pivotField>
    <pivotField axis="axisCol" showAll="0">
      <items count="6">
        <item x="4"/>
        <item x="3"/>
        <item x="1"/>
        <item x="0"/>
        <item x="2"/>
        <item t="default"/>
      </items>
    </pivotField>
    <pivotField showAll="0"/>
    <pivotField showAll="0"/>
    <pivotField numFmtId="167" showAll="0"/>
    <pivotField numFmtId="3" showAll="0"/>
    <pivotField numFmtId="167" showAll="0"/>
    <pivotField numFmtId="9" showAll="0"/>
    <pivotField dataField="1" numFmtId="167" showAll="0"/>
    <pivotField numFmtId="167" showAll="0"/>
    <pivotField numFmtId="167" showAll="0"/>
    <pivotField numFmtId="164" showAll="0"/>
  </pivotFields>
  <rowFields count="1">
    <field x="4"/>
  </rowFields>
  <rowItems count="5">
    <i>
      <x/>
    </i>
    <i>
      <x v="1"/>
    </i>
    <i>
      <x v="2"/>
    </i>
    <i>
      <x v="3"/>
    </i>
    <i t="grand">
      <x/>
    </i>
  </rowItems>
  <colFields count="1">
    <field x="5"/>
  </colFields>
  <colItems count="6">
    <i>
      <x/>
    </i>
    <i>
      <x v="1"/>
    </i>
    <i>
      <x v="2"/>
    </i>
    <i>
      <x v="3"/>
    </i>
    <i>
      <x v="4"/>
    </i>
    <i t="grand">
      <x/>
    </i>
  </colItems>
  <dataFields count="1">
    <dataField name="Sum of Net Revenue" fld="12" baseField="4" baseItem="0" numFmtId="3"/>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9" format="10" series="1">
      <pivotArea type="data" outline="0" fieldPosition="0">
        <references count="2">
          <reference field="4294967294" count="1" selected="0">
            <x v="0"/>
          </reference>
          <reference field="5" count="1" selected="0">
            <x v="0"/>
          </reference>
        </references>
      </pivotArea>
    </chartFormat>
    <chartFormat chart="9" format="11" series="1">
      <pivotArea type="data" outline="0" fieldPosition="0">
        <references count="2">
          <reference field="4294967294" count="1" selected="0">
            <x v="0"/>
          </reference>
          <reference field="5" count="1" selected="0">
            <x v="1"/>
          </reference>
        </references>
      </pivotArea>
    </chartFormat>
    <chartFormat chart="9" format="12" series="1">
      <pivotArea type="data" outline="0" fieldPosition="0">
        <references count="2">
          <reference field="4294967294" count="1" selected="0">
            <x v="0"/>
          </reference>
          <reference field="5" count="1" selected="0">
            <x v="2"/>
          </reference>
        </references>
      </pivotArea>
    </chartFormat>
    <chartFormat chart="9" format="13" series="1">
      <pivotArea type="data" outline="0" fieldPosition="0">
        <references count="2">
          <reference field="4294967294" count="1" selected="0">
            <x v="0"/>
          </reference>
          <reference field="5" count="1" selected="0">
            <x v="3"/>
          </reference>
        </references>
      </pivotArea>
    </chartFormat>
    <chartFormat chart="9" format="14" series="1">
      <pivotArea type="data" outline="0" fieldPosition="0">
        <references count="2">
          <reference field="4294967294" count="1" selected="0">
            <x v="0"/>
          </reference>
          <reference field="5" count="1" selected="0">
            <x v="4"/>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EC71A3-FF5B-40FB-9F26-44DE04344AB5}" name="PivotTable1" cacheId="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0">
  <location ref="A5:C18" firstHeaderRow="0" firstDataRow="1" firstDataCol="1" rowPageCount="1" colPageCount="1"/>
  <pivotFields count="16">
    <pivotField showAll="0"/>
    <pivotField axis="axisPage" numFmtId="166" showAll="0">
      <items count="198">
        <item x="1"/>
        <item x="108"/>
        <item x="87"/>
        <item x="106"/>
        <item x="181"/>
        <item x="173"/>
        <item x="45"/>
        <item x="122"/>
        <item x="148"/>
        <item x="68"/>
        <item x="10"/>
        <item x="29"/>
        <item x="113"/>
        <item x="97"/>
        <item x="73"/>
        <item x="8"/>
        <item x="81"/>
        <item x="40"/>
        <item x="95"/>
        <item x="109"/>
        <item x="196"/>
        <item x="98"/>
        <item x="57"/>
        <item x="130"/>
        <item x="91"/>
        <item x="180"/>
        <item x="149"/>
        <item x="32"/>
        <item x="39"/>
        <item x="5"/>
        <item x="178"/>
        <item x="105"/>
        <item x="9"/>
        <item x="132"/>
        <item x="78"/>
        <item x="146"/>
        <item x="140"/>
        <item x="13"/>
        <item x="134"/>
        <item x="77"/>
        <item x="170"/>
        <item x="161"/>
        <item x="133"/>
        <item x="194"/>
        <item x="143"/>
        <item x="58"/>
        <item x="169"/>
        <item x="67"/>
        <item x="131"/>
        <item x="52"/>
        <item x="59"/>
        <item x="80"/>
        <item x="21"/>
        <item x="15"/>
        <item x="152"/>
        <item x="103"/>
        <item x="28"/>
        <item x="64"/>
        <item x="172"/>
        <item x="160"/>
        <item x="47"/>
        <item x="53"/>
        <item x="36"/>
        <item x="101"/>
        <item x="125"/>
        <item x="34"/>
        <item x="119"/>
        <item x="144"/>
        <item x="171"/>
        <item x="82"/>
        <item x="51"/>
        <item x="164"/>
        <item x="147"/>
        <item x="7"/>
        <item x="65"/>
        <item x="84"/>
        <item x="93"/>
        <item x="179"/>
        <item x="96"/>
        <item x="33"/>
        <item x="116"/>
        <item x="30"/>
        <item x="12"/>
        <item x="6"/>
        <item x="79"/>
        <item x="54"/>
        <item x="155"/>
        <item x="185"/>
        <item x="41"/>
        <item x="190"/>
        <item x="107"/>
        <item x="137"/>
        <item x="35"/>
        <item x="184"/>
        <item x="145"/>
        <item x="100"/>
        <item x="126"/>
        <item x="136"/>
        <item x="89"/>
        <item x="177"/>
        <item x="86"/>
        <item x="4"/>
        <item x="3"/>
        <item x="61"/>
        <item x="151"/>
        <item x="142"/>
        <item x="55"/>
        <item x="114"/>
        <item x="20"/>
        <item x="120"/>
        <item x="71"/>
        <item x="129"/>
        <item x="17"/>
        <item x="37"/>
        <item x="88"/>
        <item x="99"/>
        <item x="138"/>
        <item x="121"/>
        <item x="150"/>
        <item x="192"/>
        <item x="115"/>
        <item x="66"/>
        <item x="24"/>
        <item x="69"/>
        <item x="38"/>
        <item x="23"/>
        <item x="11"/>
        <item x="16"/>
        <item x="167"/>
        <item x="158"/>
        <item x="49"/>
        <item x="165"/>
        <item x="62"/>
        <item x="14"/>
        <item x="25"/>
        <item x="26"/>
        <item x="22"/>
        <item x="44"/>
        <item x="191"/>
        <item x="104"/>
        <item x="74"/>
        <item x="183"/>
        <item x="168"/>
        <item x="153"/>
        <item x="139"/>
        <item x="166"/>
        <item x="189"/>
        <item x="42"/>
        <item x="83"/>
        <item x="85"/>
        <item x="193"/>
        <item x="72"/>
        <item x="124"/>
        <item x="127"/>
        <item x="188"/>
        <item x="27"/>
        <item x="2"/>
        <item x="75"/>
        <item x="123"/>
        <item x="135"/>
        <item x="110"/>
        <item x="18"/>
        <item x="56"/>
        <item x="117"/>
        <item x="70"/>
        <item x="128"/>
        <item x="63"/>
        <item x="154"/>
        <item x="141"/>
        <item x="176"/>
        <item x="0"/>
        <item x="156"/>
        <item x="60"/>
        <item x="102"/>
        <item x="92"/>
        <item x="118"/>
        <item x="187"/>
        <item x="31"/>
        <item x="162"/>
        <item x="48"/>
        <item x="174"/>
        <item x="111"/>
        <item x="76"/>
        <item x="43"/>
        <item x="90"/>
        <item x="112"/>
        <item x="46"/>
        <item x="157"/>
        <item x="195"/>
        <item x="163"/>
        <item x="159"/>
        <item x="175"/>
        <item x="19"/>
        <item x="186"/>
        <item x="94"/>
        <item x="182"/>
        <item x="50"/>
        <item t="default"/>
      </items>
    </pivotField>
    <pivotField axis="axisRow" showAll="0">
      <items count="13">
        <item x="1"/>
        <item x="4"/>
        <item x="7"/>
        <item x="10"/>
        <item x="6"/>
        <item x="5"/>
        <item x="3"/>
        <item x="8"/>
        <item x="9"/>
        <item x="2"/>
        <item x="0"/>
        <item x="11"/>
        <item t="default"/>
      </items>
    </pivotField>
    <pivotField showAll="0"/>
    <pivotField showAll="0">
      <items count="5">
        <item x="1"/>
        <item x="0"/>
        <item x="2"/>
        <item x="3"/>
        <item t="default"/>
      </items>
    </pivotField>
    <pivotField showAll="0">
      <items count="6">
        <item x="4"/>
        <item x="3"/>
        <item x="1"/>
        <item x="0"/>
        <item x="2"/>
        <item t="default"/>
      </items>
    </pivotField>
    <pivotField showAll="0"/>
    <pivotField showAll="0"/>
    <pivotField numFmtId="167" showAll="0"/>
    <pivotField numFmtId="3" showAll="0"/>
    <pivotField dataField="1" numFmtId="167" showAll="0">
      <items count="301">
        <item x="39"/>
        <item x="148"/>
        <item x="249"/>
        <item x="0"/>
        <item x="298"/>
        <item x="163"/>
        <item x="255"/>
        <item x="194"/>
        <item x="155"/>
        <item x="63"/>
        <item x="285"/>
        <item x="85"/>
        <item x="221"/>
        <item x="208"/>
        <item x="214"/>
        <item x="123"/>
        <item x="263"/>
        <item x="131"/>
        <item x="9"/>
        <item x="146"/>
        <item x="143"/>
        <item x="164"/>
        <item x="267"/>
        <item x="245"/>
        <item x="73"/>
        <item x="25"/>
        <item x="145"/>
        <item x="61"/>
        <item x="30"/>
        <item x="45"/>
        <item x="75"/>
        <item x="77"/>
        <item x="90"/>
        <item x="113"/>
        <item x="198"/>
        <item x="154"/>
        <item x="33"/>
        <item x="207"/>
        <item x="83"/>
        <item x="261"/>
        <item x="280"/>
        <item x="238"/>
        <item x="79"/>
        <item x="4"/>
        <item x="17"/>
        <item x="48"/>
        <item x="232"/>
        <item x="150"/>
        <item x="13"/>
        <item x="178"/>
        <item x="161"/>
        <item x="168"/>
        <item x="54"/>
        <item x="259"/>
        <item x="275"/>
        <item x="227"/>
        <item x="278"/>
        <item x="140"/>
        <item x="87"/>
        <item x="239"/>
        <item x="224"/>
        <item x="138"/>
        <item x="57"/>
        <item x="173"/>
        <item x="3"/>
        <item x="100"/>
        <item x="118"/>
        <item x="151"/>
        <item x="41"/>
        <item x="24"/>
        <item x="230"/>
        <item x="112"/>
        <item x="243"/>
        <item x="279"/>
        <item x="115"/>
        <item x="292"/>
        <item x="159"/>
        <item x="95"/>
        <item x="271"/>
        <item x="31"/>
        <item x="219"/>
        <item x="147"/>
        <item x="128"/>
        <item x="183"/>
        <item x="16"/>
        <item x="205"/>
        <item x="186"/>
        <item x="201"/>
        <item x="136"/>
        <item x="141"/>
        <item x="152"/>
        <item x="252"/>
        <item x="103"/>
        <item x="7"/>
        <item x="35"/>
        <item x="111"/>
        <item x="248"/>
        <item x="233"/>
        <item x="102"/>
        <item x="222"/>
        <item x="135"/>
        <item x="139"/>
        <item x="288"/>
        <item x="225"/>
        <item x="60"/>
        <item x="270"/>
        <item x="195"/>
        <item x="273"/>
        <item x="67"/>
        <item x="104"/>
        <item x="6"/>
        <item x="32"/>
        <item x="206"/>
        <item x="156"/>
        <item x="166"/>
        <item x="126"/>
        <item x="27"/>
        <item x="92"/>
        <item x="59"/>
        <item x="291"/>
        <item x="264"/>
        <item x="289"/>
        <item x="105"/>
        <item x="43"/>
        <item x="181"/>
        <item x="52"/>
        <item x="237"/>
        <item x="192"/>
        <item x="212"/>
        <item x="277"/>
        <item x="210"/>
        <item x="283"/>
        <item x="72"/>
        <item x="240"/>
        <item x="68"/>
        <item x="96"/>
        <item x="34"/>
        <item x="109"/>
        <item x="242"/>
        <item x="200"/>
        <item x="71"/>
        <item x="53"/>
        <item x="246"/>
        <item x="215"/>
        <item x="297"/>
        <item x="11"/>
        <item x="265"/>
        <item x="203"/>
        <item x="84"/>
        <item x="299"/>
        <item x="70"/>
        <item x="193"/>
        <item x="190"/>
        <item x="174"/>
        <item x="28"/>
        <item x="81"/>
        <item x="14"/>
        <item x="86"/>
        <item x="56"/>
        <item x="223"/>
        <item x="153"/>
        <item x="268"/>
        <item x="182"/>
        <item x="130"/>
        <item x="149"/>
        <item x="281"/>
        <item x="65"/>
        <item x="229"/>
        <item x="187"/>
        <item x="260"/>
        <item x="19"/>
        <item x="129"/>
        <item x="257"/>
        <item x="251"/>
        <item x="269"/>
        <item x="134"/>
        <item x="202"/>
        <item x="266"/>
        <item x="211"/>
        <item x="158"/>
        <item x="114"/>
        <item x="42"/>
        <item x="172"/>
        <item x="220"/>
        <item x="106"/>
        <item x="226"/>
        <item x="133"/>
        <item x="18"/>
        <item x="188"/>
        <item x="236"/>
        <item x="20"/>
        <item x="44"/>
        <item x="204"/>
        <item x="94"/>
        <item x="46"/>
        <item x="62"/>
        <item x="253"/>
        <item x="98"/>
        <item x="93"/>
        <item x="293"/>
        <item x="282"/>
        <item x="66"/>
        <item x="290"/>
        <item x="217"/>
        <item x="216"/>
        <item x="23"/>
        <item x="157"/>
        <item x="37"/>
        <item x="167"/>
        <item x="284"/>
        <item x="235"/>
        <item x="110"/>
        <item x="88"/>
        <item x="119"/>
        <item x="247"/>
        <item x="89"/>
        <item x="80"/>
        <item x="51"/>
        <item x="137"/>
        <item x="276"/>
        <item x="228"/>
        <item x="78"/>
        <item x="160"/>
        <item x="142"/>
        <item x="165"/>
        <item x="180"/>
        <item x="99"/>
        <item x="15"/>
        <item x="132"/>
        <item x="12"/>
        <item x="107"/>
        <item x="116"/>
        <item x="295"/>
        <item x="108"/>
        <item x="272"/>
        <item x="250"/>
        <item x="176"/>
        <item x="2"/>
        <item x="50"/>
        <item x="5"/>
        <item x="191"/>
        <item x="22"/>
        <item x="286"/>
        <item x="185"/>
        <item x="29"/>
        <item x="36"/>
        <item x="244"/>
        <item x="241"/>
        <item x="197"/>
        <item x="64"/>
        <item x="69"/>
        <item x="101"/>
        <item x="121"/>
        <item x="127"/>
        <item x="199"/>
        <item x="254"/>
        <item x="120"/>
        <item x="258"/>
        <item x="10"/>
        <item x="274"/>
        <item x="256"/>
        <item x="40"/>
        <item x="124"/>
        <item x="184"/>
        <item x="91"/>
        <item x="97"/>
        <item x="177"/>
        <item x="170"/>
        <item x="125"/>
        <item x="49"/>
        <item x="287"/>
        <item x="171"/>
        <item x="82"/>
        <item x="122"/>
        <item x="47"/>
        <item x="55"/>
        <item x="234"/>
        <item x="179"/>
        <item x="231"/>
        <item x="1"/>
        <item x="209"/>
        <item x="294"/>
        <item x="162"/>
        <item x="218"/>
        <item x="58"/>
        <item x="76"/>
        <item x="296"/>
        <item x="175"/>
        <item x="262"/>
        <item x="8"/>
        <item x="38"/>
        <item x="213"/>
        <item x="189"/>
        <item x="74"/>
        <item x="169"/>
        <item x="144"/>
        <item x="26"/>
        <item x="21"/>
        <item x="196"/>
        <item x="117"/>
        <item t="default"/>
      </items>
    </pivotField>
    <pivotField numFmtId="9" showAll="0"/>
    <pivotField numFmtId="167" showAll="0"/>
    <pivotField numFmtId="167" showAll="0"/>
    <pivotField numFmtId="167" showAll="0"/>
    <pivotField dataField="1" numFmtId="164" showAll="0">
      <items count="301">
        <item x="194"/>
        <item x="100"/>
        <item x="85"/>
        <item x="219"/>
        <item x="74"/>
        <item x="106"/>
        <item x="12"/>
        <item x="195"/>
        <item x="156"/>
        <item x="220"/>
        <item x="287"/>
        <item x="176"/>
        <item x="266"/>
        <item x="247"/>
        <item x="41"/>
        <item x="186"/>
        <item x="28"/>
        <item x="228"/>
        <item x="24"/>
        <item x="37"/>
        <item x="93"/>
        <item x="132"/>
        <item x="295"/>
        <item x="86"/>
        <item x="207"/>
        <item x="179"/>
        <item x="157"/>
        <item x="58"/>
        <item x="52"/>
        <item x="255"/>
        <item x="36"/>
        <item x="254"/>
        <item x="50"/>
        <item x="240"/>
        <item x="193"/>
        <item x="171"/>
        <item x="105"/>
        <item x="126"/>
        <item x="188"/>
        <item x="258"/>
        <item x="107"/>
        <item x="94"/>
        <item x="202"/>
        <item x="160"/>
        <item x="227"/>
        <item x="158"/>
        <item x="251"/>
        <item x="131"/>
        <item x="250"/>
        <item x="200"/>
        <item x="238"/>
        <item x="271"/>
        <item x="260"/>
        <item x="145"/>
        <item x="215"/>
        <item x="150"/>
        <item x="38"/>
        <item x="134"/>
        <item x="242"/>
        <item x="4"/>
        <item x="11"/>
        <item x="198"/>
        <item x="185"/>
        <item x="296"/>
        <item x="223"/>
        <item x="199"/>
        <item x="234"/>
        <item x="61"/>
        <item x="256"/>
        <item x="167"/>
        <item x="73"/>
        <item x="244"/>
        <item x="261"/>
        <item x="269"/>
        <item x="291"/>
        <item x="109"/>
        <item x="298"/>
        <item x="42"/>
        <item x="264"/>
        <item x="98"/>
        <item x="165"/>
        <item x="272"/>
        <item x="16"/>
        <item x="288"/>
        <item x="66"/>
        <item x="81"/>
        <item x="206"/>
        <item x="45"/>
        <item x="162"/>
        <item x="71"/>
        <item x="144"/>
        <item x="257"/>
        <item x="108"/>
        <item x="48"/>
        <item x="113"/>
        <item x="87"/>
        <item x="284"/>
        <item x="129"/>
        <item x="99"/>
        <item x="114"/>
        <item x="34"/>
        <item x="253"/>
        <item x="53"/>
        <item x="236"/>
        <item x="44"/>
        <item x="189"/>
        <item x="116"/>
        <item x="175"/>
        <item x="183"/>
        <item x="31"/>
        <item x="191"/>
        <item x="233"/>
        <item x="10"/>
        <item x="203"/>
        <item x="83"/>
        <item x="283"/>
        <item x="121"/>
        <item x="0"/>
        <item x="25"/>
        <item x="62"/>
        <item x="274"/>
        <item x="208"/>
        <item x="78"/>
        <item x="263"/>
        <item x="286"/>
        <item x="91"/>
        <item x="46"/>
        <item x="90"/>
        <item x="181"/>
        <item x="273"/>
        <item x="35"/>
        <item x="3"/>
        <item x="19"/>
        <item x="13"/>
        <item x="214"/>
        <item x="231"/>
        <item x="110"/>
        <item x="249"/>
        <item x="178"/>
        <item x="149"/>
        <item x="166"/>
        <item x="279"/>
        <item x="170"/>
        <item x="226"/>
        <item x="47"/>
        <item x="275"/>
        <item x="92"/>
        <item x="33"/>
        <item x="245"/>
        <item x="299"/>
        <item x="97"/>
        <item x="77"/>
        <item x="70"/>
        <item x="57"/>
        <item x="213"/>
        <item x="56"/>
        <item x="222"/>
        <item x="122"/>
        <item x="76"/>
        <item x="111"/>
        <item x="6"/>
        <item x="103"/>
        <item x="123"/>
        <item x="29"/>
        <item x="51"/>
        <item x="49"/>
        <item x="88"/>
        <item x="147"/>
        <item x="22"/>
        <item x="84"/>
        <item x="104"/>
        <item x="292"/>
        <item x="139"/>
        <item x="82"/>
        <item x="285"/>
        <item x="164"/>
        <item x="55"/>
        <item x="89"/>
        <item x="212"/>
        <item x="237"/>
        <item x="127"/>
        <item x="7"/>
        <item x="115"/>
        <item x="125"/>
        <item x="229"/>
        <item x="146"/>
        <item x="197"/>
        <item x="282"/>
        <item x="177"/>
        <item x="20"/>
        <item x="72"/>
        <item x="95"/>
        <item x="277"/>
        <item x="210"/>
        <item x="276"/>
        <item x="136"/>
        <item x="172"/>
        <item x="68"/>
        <item x="17"/>
        <item x="151"/>
        <item x="217"/>
        <item x="239"/>
        <item x="294"/>
        <item x="278"/>
        <item x="67"/>
        <item x="192"/>
        <item x="221"/>
        <item x="152"/>
        <item x="79"/>
        <item x="174"/>
        <item x="252"/>
        <item x="190"/>
        <item x="268"/>
        <item x="196"/>
        <item x="209"/>
        <item x="216"/>
        <item x="159"/>
        <item x="69"/>
        <item x="40"/>
        <item x="120"/>
        <item x="135"/>
        <item x="75"/>
        <item x="290"/>
        <item x="112"/>
        <item x="59"/>
        <item x="60"/>
        <item x="21"/>
        <item x="141"/>
        <item x="14"/>
        <item x="235"/>
        <item x="182"/>
        <item x="96"/>
        <item x="259"/>
        <item x="18"/>
        <item x="161"/>
        <item x="39"/>
        <item x="1"/>
        <item x="248"/>
        <item x="163"/>
        <item x="241"/>
        <item x="143"/>
        <item x="280"/>
        <item x="155"/>
        <item x="138"/>
        <item x="230"/>
        <item x="218"/>
        <item x="80"/>
        <item x="246"/>
        <item x="102"/>
        <item x="293"/>
        <item x="23"/>
        <item x="5"/>
        <item x="201"/>
        <item x="130"/>
        <item x="205"/>
        <item x="204"/>
        <item x="265"/>
        <item x="8"/>
        <item x="54"/>
        <item x="211"/>
        <item x="168"/>
        <item x="30"/>
        <item x="15"/>
        <item x="187"/>
        <item x="184"/>
        <item x="180"/>
        <item x="27"/>
        <item x="225"/>
        <item x="32"/>
        <item x="270"/>
        <item x="140"/>
        <item x="63"/>
        <item x="148"/>
        <item x="2"/>
        <item x="262"/>
        <item x="64"/>
        <item x="243"/>
        <item x="117"/>
        <item x="118"/>
        <item x="9"/>
        <item x="133"/>
        <item x="173"/>
        <item x="297"/>
        <item x="124"/>
        <item x="154"/>
        <item x="142"/>
        <item x="128"/>
        <item x="65"/>
        <item x="119"/>
        <item x="169"/>
        <item x="224"/>
        <item x="26"/>
        <item x="101"/>
        <item x="289"/>
        <item x="232"/>
        <item x="153"/>
        <item x="137"/>
        <item x="267"/>
        <item x="281"/>
        <item x="43"/>
        <item t="default"/>
      </items>
    </pivotField>
  </pivotFields>
  <rowFields count="1">
    <field x="2"/>
  </rowFields>
  <rowItems count="13">
    <i>
      <x/>
    </i>
    <i>
      <x v="1"/>
    </i>
    <i>
      <x v="2"/>
    </i>
    <i>
      <x v="3"/>
    </i>
    <i>
      <x v="4"/>
    </i>
    <i>
      <x v="5"/>
    </i>
    <i>
      <x v="6"/>
    </i>
    <i>
      <x v="7"/>
    </i>
    <i>
      <x v="8"/>
    </i>
    <i>
      <x v="9"/>
    </i>
    <i>
      <x v="10"/>
    </i>
    <i>
      <x v="11"/>
    </i>
    <i t="grand">
      <x/>
    </i>
  </rowItems>
  <colFields count="1">
    <field x="-2"/>
  </colFields>
  <colItems count="2">
    <i>
      <x/>
    </i>
    <i i="1">
      <x v="1"/>
    </i>
  </colItems>
  <pageFields count="1">
    <pageField fld="1" hier="-1"/>
  </pageFields>
  <dataFields count="2">
    <dataField name="Sum of Revenue" fld="10" baseField="0" baseItem="53" numFmtId="4"/>
    <dataField name="Average of Profit Margin %" fld="15" subtotal="average" baseField="2" baseItem="0" numFmtId="10"/>
  </dataFields>
  <chartFormats count="4">
    <chartFormat chart="1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1"/>
          </reference>
        </references>
      </pivotArea>
    </chartFormat>
    <chartFormat chart="19" format="6" series="1">
      <pivotArea type="data" outline="0" fieldPosition="0">
        <references count="1">
          <reference field="4294967294" count="1" selected="0">
            <x v="0"/>
          </reference>
        </references>
      </pivotArea>
    </chartFormat>
    <chartFormat chart="19" format="7" series="1">
      <pivotArea type="data" outline="0" fieldPosition="0">
        <references count="1">
          <reference field="4294967294" count="1" selected="0">
            <x v="1"/>
          </reference>
        </references>
      </pivotArea>
    </chartFormat>
  </chartFormats>
  <pivotTableStyleInfo name="PivotStyleMedium10"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63D0315-3DDE-4FBB-A17B-6C79CA31A0E9}" sourceName="Category">
  <pivotTables>
    <pivotTable tabId="5" name="PivotTable6"/>
    <pivotTable tabId="6" name="PivotTable1"/>
    <pivotTable tabId="10" name="PivotTable6"/>
  </pivotTables>
  <data>
    <tabular pivotCacheId="1199158741">
      <items count="5">
        <i x="4" s="1"/>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746B3B-A6CD-44CE-A6CB-79DF70297757}" sourceName="Region">
  <pivotTables>
    <pivotTable tabId="5" name="PivotTable6"/>
    <pivotTable tabId="6" name="PivotTable1"/>
    <pivotTable tabId="10" name="PivotTable6"/>
  </pivotTables>
  <data>
    <tabular pivotCacheId="1199158741">
      <items count="4">
        <i x="1" s="1"/>
        <i x="0" s="1"/>
        <i x="2"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2" xr10:uid="{CDAEF1E3-7373-461F-AD5E-3CA4E63C01B6}" cache="Slicer_Category" caption="Category" rowHeight="241300"/>
  <slicer name="Region 2" xr10:uid="{68E765B1-18C9-4FEF-9DD7-A7A07E4181EC}"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02A00B39-10DF-454D-8099-5BDBCF49932E}" cache="Slicer_Category" caption="Category" rowHeight="241300"/>
  <slicer name="Region 1" xr10:uid="{9FEAAB89-5B48-4888-AA64-5589124004A1}" cache="Slicer_Region" caption="Region"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2.bin"/><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S301"/>
  <sheetViews>
    <sheetView tabSelected="1" zoomScale="85" zoomScaleNormal="85" workbookViewId="0">
      <pane ySplit="1" topLeftCell="A266" activePane="bottomLeft" state="frozen"/>
      <selection pane="bottomLeft" activeCell="U290" sqref="U290"/>
    </sheetView>
  </sheetViews>
  <sheetFormatPr defaultColWidth="8.7109375" defaultRowHeight="15" x14ac:dyDescent="0.25"/>
  <cols>
    <col min="1" max="2" width="12" customWidth="1"/>
    <col min="3" max="4" width="8" customWidth="1"/>
    <col min="5" max="5" width="10" customWidth="1"/>
    <col min="6" max="6" width="16" customWidth="1"/>
    <col min="7" max="7" width="18" customWidth="1"/>
    <col min="8" max="8" width="16" customWidth="1"/>
    <col min="9" max="10" width="11" customWidth="1"/>
    <col min="11" max="11" width="12" customWidth="1"/>
    <col min="12" max="12" width="11" customWidth="1"/>
    <col min="13" max="13" width="12" customWidth="1"/>
    <col min="14" max="15" width="11" customWidth="1"/>
    <col min="16" max="16" width="14" customWidth="1"/>
    <col min="19" max="19" width="11.140625" bestFit="1" customWidth="1"/>
  </cols>
  <sheetData>
    <row r="1" spans="1:19" ht="30" customHeight="1" x14ac:dyDescent="0.25">
      <c r="A1" s="35" t="s">
        <v>0</v>
      </c>
      <c r="B1" s="36" t="s">
        <v>1</v>
      </c>
      <c r="C1" s="35" t="s">
        <v>2</v>
      </c>
      <c r="D1" s="35" t="s">
        <v>3</v>
      </c>
      <c r="E1" s="35" t="s">
        <v>4</v>
      </c>
      <c r="F1" s="35" t="s">
        <v>5</v>
      </c>
      <c r="G1" s="35" t="s">
        <v>6</v>
      </c>
      <c r="H1" s="35" t="s">
        <v>7</v>
      </c>
      <c r="I1" s="37" t="s">
        <v>8</v>
      </c>
      <c r="J1" s="35" t="s">
        <v>9</v>
      </c>
      <c r="K1" s="37" t="s">
        <v>10</v>
      </c>
      <c r="L1" s="35" t="s">
        <v>11</v>
      </c>
      <c r="M1" s="37" t="s">
        <v>12</v>
      </c>
      <c r="N1" s="37" t="s">
        <v>13</v>
      </c>
      <c r="O1" s="37" t="s">
        <v>14</v>
      </c>
      <c r="P1" s="35" t="s">
        <v>15</v>
      </c>
    </row>
    <row r="2" spans="1:19" x14ac:dyDescent="0.25">
      <c r="A2" s="1" t="s">
        <v>16</v>
      </c>
      <c r="B2" s="30">
        <v>45234</v>
      </c>
      <c r="C2" s="1" t="s">
        <v>17</v>
      </c>
      <c r="D2" s="1" t="s">
        <v>18</v>
      </c>
      <c r="E2" s="1" t="s">
        <v>19</v>
      </c>
      <c r="F2" s="1" t="s">
        <v>20</v>
      </c>
      <c r="G2" s="1" t="s">
        <v>21</v>
      </c>
      <c r="H2" s="1" t="s">
        <v>22</v>
      </c>
      <c r="I2" s="33">
        <v>4.8499999999999996</v>
      </c>
      <c r="J2" s="2">
        <v>4</v>
      </c>
      <c r="K2" s="33">
        <f t="shared" ref="K2:K65" si="0">I2*J2</f>
        <v>19.399999999999999</v>
      </c>
      <c r="L2" s="3">
        <v>0</v>
      </c>
      <c r="M2" s="33">
        <f t="shared" ref="M2:M65" si="1">K2*(1-L2/100)</f>
        <v>19.399999999999999</v>
      </c>
      <c r="N2" s="33">
        <v>11.59</v>
      </c>
      <c r="O2" s="33">
        <f t="shared" ref="O2:O65" si="2">M2-N2</f>
        <v>7.8099999999999987</v>
      </c>
      <c r="P2" s="4">
        <f t="shared" ref="P2:P65" si="3">IF(M2=0,0,O2/M2)</f>
        <v>0.40257731958762882</v>
      </c>
    </row>
    <row r="3" spans="1:19" x14ac:dyDescent="0.25">
      <c r="A3" s="5" t="s">
        <v>23</v>
      </c>
      <c r="B3" s="31">
        <v>44927</v>
      </c>
      <c r="C3" s="5" t="s">
        <v>24</v>
      </c>
      <c r="D3" s="5" t="s">
        <v>25</v>
      </c>
      <c r="E3" s="5" t="s">
        <v>19</v>
      </c>
      <c r="F3" s="5" t="s">
        <v>26</v>
      </c>
      <c r="G3" s="5" t="s">
        <v>27</v>
      </c>
      <c r="H3" s="5" t="s">
        <v>28</v>
      </c>
      <c r="I3" s="32">
        <v>177.09</v>
      </c>
      <c r="J3" s="6">
        <v>23</v>
      </c>
      <c r="K3" s="32">
        <f t="shared" si="0"/>
        <v>4073.07</v>
      </c>
      <c r="L3" s="7">
        <v>0.15</v>
      </c>
      <c r="M3" s="32">
        <f t="shared" si="1"/>
        <v>4066.9603950000005</v>
      </c>
      <c r="N3" s="32">
        <v>2057.39</v>
      </c>
      <c r="O3" s="32">
        <f t="shared" si="2"/>
        <v>2009.5703950000006</v>
      </c>
      <c r="P3" s="8">
        <f t="shared" si="3"/>
        <v>0.49412096500143088</v>
      </c>
    </row>
    <row r="4" spans="1:19" x14ac:dyDescent="0.25">
      <c r="A4" s="1" t="s">
        <v>29</v>
      </c>
      <c r="B4" s="30">
        <v>45208</v>
      </c>
      <c r="C4" s="1" t="s">
        <v>30</v>
      </c>
      <c r="D4" s="1" t="s">
        <v>18</v>
      </c>
      <c r="E4" s="1" t="s">
        <v>19</v>
      </c>
      <c r="F4" s="1" t="s">
        <v>26</v>
      </c>
      <c r="G4" s="1" t="s">
        <v>31</v>
      </c>
      <c r="H4" s="1" t="s">
        <v>32</v>
      </c>
      <c r="I4" s="33">
        <v>207.79</v>
      </c>
      <c r="J4" s="2">
        <v>7</v>
      </c>
      <c r="K4" s="33">
        <f t="shared" si="0"/>
        <v>1454.53</v>
      </c>
      <c r="L4" s="3">
        <v>0.1</v>
      </c>
      <c r="M4" s="33">
        <f t="shared" si="1"/>
        <v>1453.07547</v>
      </c>
      <c r="N4" s="33">
        <v>691.7</v>
      </c>
      <c r="O4" s="33">
        <f t="shared" si="2"/>
        <v>761.37546999999995</v>
      </c>
      <c r="P4" s="4">
        <f t="shared" si="3"/>
        <v>0.52397517246643766</v>
      </c>
    </row>
    <row r="5" spans="1:19" x14ac:dyDescent="0.25">
      <c r="A5" s="5" t="s">
        <v>33</v>
      </c>
      <c r="B5" s="31">
        <v>45111</v>
      </c>
      <c r="C5" s="5" t="s">
        <v>34</v>
      </c>
      <c r="D5" s="5" t="s">
        <v>35</v>
      </c>
      <c r="E5" s="5" t="s">
        <v>36</v>
      </c>
      <c r="F5" s="5" t="s">
        <v>20</v>
      </c>
      <c r="G5" s="5" t="s">
        <v>37</v>
      </c>
      <c r="H5" s="5" t="s">
        <v>38</v>
      </c>
      <c r="I5" s="32">
        <v>7.82</v>
      </c>
      <c r="J5" s="6">
        <v>24</v>
      </c>
      <c r="K5" s="32">
        <f t="shared" si="0"/>
        <v>187.68</v>
      </c>
      <c r="L5" s="7">
        <v>0.2</v>
      </c>
      <c r="M5" s="32">
        <f t="shared" si="1"/>
        <v>187.30464000000001</v>
      </c>
      <c r="N5" s="32">
        <v>109.64</v>
      </c>
      <c r="O5" s="32">
        <f t="shared" si="2"/>
        <v>77.664640000000006</v>
      </c>
      <c r="P5" s="8">
        <f t="shared" si="3"/>
        <v>0.41464343862490544</v>
      </c>
    </row>
    <row r="6" spans="1:19" x14ac:dyDescent="0.25">
      <c r="A6" s="1" t="s">
        <v>39</v>
      </c>
      <c r="B6" s="30">
        <v>45110</v>
      </c>
      <c r="C6" s="1" t="s">
        <v>34</v>
      </c>
      <c r="D6" s="1" t="s">
        <v>35</v>
      </c>
      <c r="E6" s="1" t="s">
        <v>36</v>
      </c>
      <c r="F6" s="1" t="s">
        <v>40</v>
      </c>
      <c r="G6" s="1" t="s">
        <v>41</v>
      </c>
      <c r="H6" s="1" t="s">
        <v>22</v>
      </c>
      <c r="I6" s="33">
        <v>68.88</v>
      </c>
      <c r="J6" s="2">
        <v>2</v>
      </c>
      <c r="K6" s="33">
        <f t="shared" si="0"/>
        <v>137.76</v>
      </c>
      <c r="L6" s="3">
        <v>0.05</v>
      </c>
      <c r="M6" s="33">
        <f t="shared" si="1"/>
        <v>137.69112000000001</v>
      </c>
      <c r="N6" s="33">
        <v>88.61</v>
      </c>
      <c r="O6" s="33">
        <f t="shared" si="2"/>
        <v>49.081120000000013</v>
      </c>
      <c r="P6" s="4">
        <f t="shared" si="3"/>
        <v>0.35645813615286165</v>
      </c>
    </row>
    <row r="7" spans="1:19" x14ac:dyDescent="0.25">
      <c r="A7" s="5" t="s">
        <v>42</v>
      </c>
      <c r="B7" s="31">
        <v>44985</v>
      </c>
      <c r="C7" s="5" t="s">
        <v>43</v>
      </c>
      <c r="D7" s="5" t="s">
        <v>25</v>
      </c>
      <c r="E7" s="5" t="s">
        <v>44</v>
      </c>
      <c r="F7" s="5" t="s">
        <v>45</v>
      </c>
      <c r="G7" s="5" t="s">
        <v>46</v>
      </c>
      <c r="H7" s="5" t="s">
        <v>38</v>
      </c>
      <c r="I7" s="32">
        <v>56.34</v>
      </c>
      <c r="J7" s="6">
        <v>27</v>
      </c>
      <c r="K7" s="32">
        <f t="shared" si="0"/>
        <v>1521.18</v>
      </c>
      <c r="L7" s="7">
        <v>0.1</v>
      </c>
      <c r="M7" s="32">
        <f t="shared" si="1"/>
        <v>1519.6588200000001</v>
      </c>
      <c r="N7" s="32">
        <v>746.32</v>
      </c>
      <c r="O7" s="32">
        <f t="shared" si="2"/>
        <v>773.33882000000006</v>
      </c>
      <c r="P7" s="8">
        <f t="shared" si="3"/>
        <v>0.50888976513820383</v>
      </c>
    </row>
    <row r="8" spans="1:19" x14ac:dyDescent="0.25">
      <c r="A8" s="1" t="s">
        <v>47</v>
      </c>
      <c r="B8" s="30">
        <v>45084</v>
      </c>
      <c r="C8" s="1" t="s">
        <v>48</v>
      </c>
      <c r="D8" s="1" t="s">
        <v>49</v>
      </c>
      <c r="E8" s="1" t="s">
        <v>36</v>
      </c>
      <c r="F8" s="1" t="s">
        <v>45</v>
      </c>
      <c r="G8" s="1" t="s">
        <v>50</v>
      </c>
      <c r="H8" s="1" t="s">
        <v>51</v>
      </c>
      <c r="I8" s="33">
        <v>46.68</v>
      </c>
      <c r="J8" s="2">
        <v>8</v>
      </c>
      <c r="K8" s="33">
        <f t="shared" si="0"/>
        <v>373.44</v>
      </c>
      <c r="L8" s="3">
        <v>0</v>
      </c>
      <c r="M8" s="33">
        <f t="shared" si="1"/>
        <v>373.44</v>
      </c>
      <c r="N8" s="33">
        <v>211.22</v>
      </c>
      <c r="O8" s="33">
        <f t="shared" si="2"/>
        <v>162.22</v>
      </c>
      <c r="P8" s="4">
        <f t="shared" si="3"/>
        <v>0.43439374464438729</v>
      </c>
    </row>
    <row r="9" spans="1:19" x14ac:dyDescent="0.25">
      <c r="A9" s="5" t="s">
        <v>52</v>
      </c>
      <c r="B9" s="31">
        <v>45067</v>
      </c>
      <c r="C9" s="5" t="s">
        <v>53</v>
      </c>
      <c r="D9" s="5" t="s">
        <v>49</v>
      </c>
      <c r="E9" s="5" t="s">
        <v>44</v>
      </c>
      <c r="F9" s="5" t="s">
        <v>20</v>
      </c>
      <c r="G9" s="5" t="s">
        <v>54</v>
      </c>
      <c r="H9" s="5" t="s">
        <v>22</v>
      </c>
      <c r="I9" s="32">
        <v>10.49</v>
      </c>
      <c r="J9" s="6">
        <v>26</v>
      </c>
      <c r="K9" s="32">
        <f t="shared" si="0"/>
        <v>272.74</v>
      </c>
      <c r="L9" s="7">
        <v>0.1</v>
      </c>
      <c r="M9" s="32">
        <f t="shared" si="1"/>
        <v>272.46726000000001</v>
      </c>
      <c r="N9" s="32">
        <v>150.05000000000001</v>
      </c>
      <c r="O9" s="32">
        <f t="shared" si="2"/>
        <v>122.41726</v>
      </c>
      <c r="P9" s="8">
        <f t="shared" si="3"/>
        <v>0.44929163232309083</v>
      </c>
    </row>
    <row r="10" spans="1:19" x14ac:dyDescent="0.25">
      <c r="A10" s="1" t="s">
        <v>55</v>
      </c>
      <c r="B10" s="30">
        <v>44964</v>
      </c>
      <c r="C10" s="1" t="s">
        <v>43</v>
      </c>
      <c r="D10" s="1" t="s">
        <v>25</v>
      </c>
      <c r="E10" s="1" t="s">
        <v>36</v>
      </c>
      <c r="F10" s="1" t="s">
        <v>26</v>
      </c>
      <c r="G10" s="1" t="s">
        <v>31</v>
      </c>
      <c r="H10" s="1" t="s">
        <v>56</v>
      </c>
      <c r="I10" s="33">
        <v>268.47000000000003</v>
      </c>
      <c r="J10" s="2">
        <v>21</v>
      </c>
      <c r="K10" s="33">
        <f t="shared" si="0"/>
        <v>5637.8700000000008</v>
      </c>
      <c r="L10" s="3">
        <v>0.2</v>
      </c>
      <c r="M10" s="33">
        <f t="shared" si="1"/>
        <v>5626.5942600000008</v>
      </c>
      <c r="N10" s="33">
        <v>2738.4</v>
      </c>
      <c r="O10" s="33">
        <f t="shared" si="2"/>
        <v>2888.1942600000007</v>
      </c>
      <c r="P10" s="4">
        <f t="shared" si="3"/>
        <v>0.51331127259920828</v>
      </c>
    </row>
    <row r="11" spans="1:19" x14ac:dyDescent="0.25">
      <c r="A11" s="5" t="s">
        <v>57</v>
      </c>
      <c r="B11" s="31">
        <v>44993</v>
      </c>
      <c r="C11" s="5" t="s">
        <v>58</v>
      </c>
      <c r="D11" s="5" t="s">
        <v>25</v>
      </c>
      <c r="E11" s="5" t="s">
        <v>36</v>
      </c>
      <c r="F11" s="5" t="s">
        <v>40</v>
      </c>
      <c r="G11" s="5" t="s">
        <v>59</v>
      </c>
      <c r="H11" s="5" t="s">
        <v>56</v>
      </c>
      <c r="I11" s="32">
        <v>10.81</v>
      </c>
      <c r="J11" s="6">
        <v>5</v>
      </c>
      <c r="K11" s="32">
        <f t="shared" si="0"/>
        <v>54.050000000000004</v>
      </c>
      <c r="L11" s="7">
        <v>0.2</v>
      </c>
      <c r="M11" s="32">
        <f t="shared" si="1"/>
        <v>53.941900000000004</v>
      </c>
      <c r="N11" s="32">
        <v>25.55</v>
      </c>
      <c r="O11" s="32">
        <f t="shared" si="2"/>
        <v>28.391900000000003</v>
      </c>
      <c r="P11" s="8">
        <f t="shared" si="3"/>
        <v>0.52634223117836043</v>
      </c>
    </row>
    <row r="12" spans="1:19" x14ac:dyDescent="0.25">
      <c r="A12" s="1" t="s">
        <v>60</v>
      </c>
      <c r="B12" s="30">
        <v>44954</v>
      </c>
      <c r="C12" s="1" t="s">
        <v>24</v>
      </c>
      <c r="D12" s="1" t="s">
        <v>25</v>
      </c>
      <c r="E12" s="1" t="s">
        <v>19</v>
      </c>
      <c r="F12" s="1" t="s">
        <v>26</v>
      </c>
      <c r="G12" s="1" t="s">
        <v>27</v>
      </c>
      <c r="H12" s="1" t="s">
        <v>56</v>
      </c>
      <c r="I12" s="33">
        <v>179.73</v>
      </c>
      <c r="J12" s="2">
        <v>13</v>
      </c>
      <c r="K12" s="33">
        <f t="shared" si="0"/>
        <v>2336.4899999999998</v>
      </c>
      <c r="L12" s="3">
        <v>0.15</v>
      </c>
      <c r="M12" s="33">
        <f t="shared" si="1"/>
        <v>2332.9852649999998</v>
      </c>
      <c r="N12" s="33">
        <v>1399.5</v>
      </c>
      <c r="O12" s="33">
        <f t="shared" si="2"/>
        <v>933.4852649999998</v>
      </c>
      <c r="P12" s="4">
        <f t="shared" si="3"/>
        <v>0.40012480104541076</v>
      </c>
    </row>
    <row r="13" spans="1:19" x14ac:dyDescent="0.25">
      <c r="A13" s="5" t="s">
        <v>61</v>
      </c>
      <c r="B13" s="31">
        <v>45155</v>
      </c>
      <c r="C13" s="5" t="s">
        <v>62</v>
      </c>
      <c r="D13" s="5" t="s">
        <v>35</v>
      </c>
      <c r="E13" s="5" t="s">
        <v>36</v>
      </c>
      <c r="F13" s="5" t="s">
        <v>40</v>
      </c>
      <c r="G13" s="5" t="s">
        <v>63</v>
      </c>
      <c r="H13" s="5" t="s">
        <v>64</v>
      </c>
      <c r="I13" s="32">
        <v>31.02</v>
      </c>
      <c r="J13" s="6">
        <v>18</v>
      </c>
      <c r="K13" s="32">
        <f t="shared" si="0"/>
        <v>558.36</v>
      </c>
      <c r="L13" s="7">
        <v>0.05</v>
      </c>
      <c r="M13" s="32">
        <f t="shared" si="1"/>
        <v>558.08082000000002</v>
      </c>
      <c r="N13" s="32">
        <v>358.57</v>
      </c>
      <c r="O13" s="32">
        <f t="shared" si="2"/>
        <v>199.51082000000002</v>
      </c>
      <c r="P13" s="8">
        <f t="shared" si="3"/>
        <v>0.35749449336029865</v>
      </c>
    </row>
    <row r="14" spans="1:19" x14ac:dyDescent="0.25">
      <c r="A14" s="1" t="s">
        <v>65</v>
      </c>
      <c r="B14" s="30">
        <v>45081</v>
      </c>
      <c r="C14" s="1" t="s">
        <v>48</v>
      </c>
      <c r="D14" s="1" t="s">
        <v>49</v>
      </c>
      <c r="E14" s="1" t="s">
        <v>36</v>
      </c>
      <c r="F14" s="1" t="s">
        <v>66</v>
      </c>
      <c r="G14" s="1" t="s">
        <v>67</v>
      </c>
      <c r="H14" s="1" t="s">
        <v>68</v>
      </c>
      <c r="I14" s="33">
        <v>54.1</v>
      </c>
      <c r="J14" s="2">
        <v>24</v>
      </c>
      <c r="K14" s="33">
        <f t="shared" si="0"/>
        <v>1298.4000000000001</v>
      </c>
      <c r="L14" s="3">
        <v>0.05</v>
      </c>
      <c r="M14" s="33">
        <f t="shared" si="1"/>
        <v>1297.7508000000003</v>
      </c>
      <c r="N14" s="33">
        <v>899.71</v>
      </c>
      <c r="O14" s="33">
        <f t="shared" si="2"/>
        <v>398.04080000000022</v>
      </c>
      <c r="P14" s="4">
        <f t="shared" si="3"/>
        <v>0.30671589645716274</v>
      </c>
    </row>
    <row r="15" spans="1:19" x14ac:dyDescent="0.25">
      <c r="A15" s="5" t="s">
        <v>69</v>
      </c>
      <c r="B15" s="31">
        <v>45002</v>
      </c>
      <c r="C15" s="5" t="s">
        <v>58</v>
      </c>
      <c r="D15" s="5" t="s">
        <v>25</v>
      </c>
      <c r="E15" s="5" t="s">
        <v>19</v>
      </c>
      <c r="F15" s="5" t="s">
        <v>20</v>
      </c>
      <c r="G15" s="5" t="s">
        <v>37</v>
      </c>
      <c r="H15" s="5" t="s">
        <v>22</v>
      </c>
      <c r="I15" s="32">
        <v>5.86</v>
      </c>
      <c r="J15" s="6">
        <v>25</v>
      </c>
      <c r="K15" s="32">
        <f t="shared" si="0"/>
        <v>146.5</v>
      </c>
      <c r="L15" s="7">
        <v>0</v>
      </c>
      <c r="M15" s="32">
        <f t="shared" si="1"/>
        <v>146.5</v>
      </c>
      <c r="N15" s="32">
        <v>85.66</v>
      </c>
      <c r="O15" s="32">
        <f t="shared" si="2"/>
        <v>60.84</v>
      </c>
      <c r="P15" s="8">
        <f t="shared" si="3"/>
        <v>0.41529010238907854</v>
      </c>
    </row>
    <row r="16" spans="1:19" x14ac:dyDescent="0.25">
      <c r="A16" s="1" t="s">
        <v>70</v>
      </c>
      <c r="B16" s="30">
        <v>45170</v>
      </c>
      <c r="C16" s="1" t="s">
        <v>71</v>
      </c>
      <c r="D16" s="1" t="s">
        <v>35</v>
      </c>
      <c r="E16" s="1" t="s">
        <v>36</v>
      </c>
      <c r="F16" s="1" t="s">
        <v>66</v>
      </c>
      <c r="G16" s="1" t="s">
        <v>72</v>
      </c>
      <c r="H16" s="1" t="s">
        <v>64</v>
      </c>
      <c r="I16" s="33">
        <v>20.47</v>
      </c>
      <c r="J16" s="2">
        <v>29</v>
      </c>
      <c r="K16" s="33">
        <f t="shared" si="0"/>
        <v>593.63</v>
      </c>
      <c r="L16" s="3">
        <v>0.05</v>
      </c>
      <c r="M16" s="33">
        <f t="shared" si="1"/>
        <v>593.33318500000007</v>
      </c>
      <c r="N16" s="33">
        <v>302.64</v>
      </c>
      <c r="O16" s="33">
        <f t="shared" si="2"/>
        <v>290.69318500000008</v>
      </c>
      <c r="P16" s="4">
        <f t="shared" si="3"/>
        <v>0.48993245675277719</v>
      </c>
      <c r="S16" s="61">
        <f>SUM(O2:O301)</f>
        <v>141821.48456500014</v>
      </c>
    </row>
    <row r="17" spans="1:16" x14ac:dyDescent="0.25">
      <c r="A17" s="5" t="s">
        <v>73</v>
      </c>
      <c r="B17" s="31">
        <v>45035</v>
      </c>
      <c r="C17" s="5" t="s">
        <v>74</v>
      </c>
      <c r="D17" s="5" t="s">
        <v>49</v>
      </c>
      <c r="E17" s="5" t="s">
        <v>19</v>
      </c>
      <c r="F17" s="5" t="s">
        <v>45</v>
      </c>
      <c r="G17" s="5" t="s">
        <v>46</v>
      </c>
      <c r="H17" s="5" t="s">
        <v>64</v>
      </c>
      <c r="I17" s="32">
        <v>69.45</v>
      </c>
      <c r="J17" s="6">
        <v>18</v>
      </c>
      <c r="K17" s="32">
        <f t="shared" si="0"/>
        <v>1250.1000000000001</v>
      </c>
      <c r="L17" s="7">
        <v>0</v>
      </c>
      <c r="M17" s="32">
        <f t="shared" si="1"/>
        <v>1250.1000000000001</v>
      </c>
      <c r="N17" s="32">
        <v>602.66999999999996</v>
      </c>
      <c r="O17" s="32">
        <f t="shared" si="2"/>
        <v>647.43000000000018</v>
      </c>
      <c r="P17" s="8">
        <f t="shared" si="3"/>
        <v>0.51790256779457655</v>
      </c>
    </row>
    <row r="18" spans="1:16" x14ac:dyDescent="0.25">
      <c r="A18" s="1" t="s">
        <v>75</v>
      </c>
      <c r="B18" s="30">
        <v>45156</v>
      </c>
      <c r="C18" s="1" t="s">
        <v>62</v>
      </c>
      <c r="D18" s="1" t="s">
        <v>35</v>
      </c>
      <c r="E18" s="1" t="s">
        <v>44</v>
      </c>
      <c r="F18" s="1" t="s">
        <v>20</v>
      </c>
      <c r="G18" s="1" t="s">
        <v>37</v>
      </c>
      <c r="H18" s="1" t="s">
        <v>56</v>
      </c>
      <c r="I18" s="33">
        <v>8.2899999999999991</v>
      </c>
      <c r="J18" s="2">
        <v>30</v>
      </c>
      <c r="K18" s="33">
        <f t="shared" si="0"/>
        <v>248.7</v>
      </c>
      <c r="L18" s="3">
        <v>0.05</v>
      </c>
      <c r="M18" s="33">
        <f t="shared" si="1"/>
        <v>248.57565</v>
      </c>
      <c r="N18" s="33">
        <v>156.30000000000001</v>
      </c>
      <c r="O18" s="33">
        <f t="shared" si="2"/>
        <v>92.275649999999985</v>
      </c>
      <c r="P18" s="4">
        <f t="shared" si="3"/>
        <v>0.37121757501187258</v>
      </c>
    </row>
    <row r="19" spans="1:16" x14ac:dyDescent="0.25">
      <c r="A19" s="5" t="s">
        <v>76</v>
      </c>
      <c r="B19" s="31">
        <v>45129</v>
      </c>
      <c r="C19" s="5" t="s">
        <v>34</v>
      </c>
      <c r="D19" s="5" t="s">
        <v>35</v>
      </c>
      <c r="E19" s="5" t="s">
        <v>36</v>
      </c>
      <c r="F19" s="5" t="s">
        <v>66</v>
      </c>
      <c r="G19" s="5" t="s">
        <v>77</v>
      </c>
      <c r="H19" s="5" t="s">
        <v>68</v>
      </c>
      <c r="I19" s="32">
        <v>17.29</v>
      </c>
      <c r="J19" s="6">
        <v>8</v>
      </c>
      <c r="K19" s="32">
        <f t="shared" si="0"/>
        <v>138.32</v>
      </c>
      <c r="L19" s="7">
        <v>0</v>
      </c>
      <c r="M19" s="32">
        <f t="shared" si="1"/>
        <v>138.32</v>
      </c>
      <c r="N19" s="32">
        <v>73.930000000000007</v>
      </c>
      <c r="O19" s="32">
        <f t="shared" si="2"/>
        <v>64.389999999999986</v>
      </c>
      <c r="P19" s="8">
        <f t="shared" si="3"/>
        <v>0.4655147484094852</v>
      </c>
    </row>
    <row r="20" spans="1:16" x14ac:dyDescent="0.25">
      <c r="A20" s="1" t="s">
        <v>78</v>
      </c>
      <c r="B20" s="30">
        <v>45217</v>
      </c>
      <c r="C20" s="1" t="s">
        <v>30</v>
      </c>
      <c r="D20" s="1" t="s">
        <v>18</v>
      </c>
      <c r="E20" s="1" t="s">
        <v>44</v>
      </c>
      <c r="F20" s="1" t="s">
        <v>40</v>
      </c>
      <c r="G20" s="1" t="s">
        <v>79</v>
      </c>
      <c r="H20" s="1" t="s">
        <v>28</v>
      </c>
      <c r="I20" s="33">
        <v>37.42</v>
      </c>
      <c r="J20" s="2">
        <v>21</v>
      </c>
      <c r="K20" s="33">
        <f t="shared" si="0"/>
        <v>785.82</v>
      </c>
      <c r="L20" s="3">
        <v>0</v>
      </c>
      <c r="M20" s="33">
        <f t="shared" si="1"/>
        <v>785.82</v>
      </c>
      <c r="N20" s="33">
        <v>398.59</v>
      </c>
      <c r="O20" s="33">
        <f t="shared" si="2"/>
        <v>387.23000000000008</v>
      </c>
      <c r="P20" s="4">
        <f t="shared" si="3"/>
        <v>0.49277188160138463</v>
      </c>
    </row>
    <row r="21" spans="1:16" x14ac:dyDescent="0.25">
      <c r="A21" s="5" t="s">
        <v>80</v>
      </c>
      <c r="B21" s="31">
        <v>44954</v>
      </c>
      <c r="C21" s="5" t="s">
        <v>24</v>
      </c>
      <c r="D21" s="5" t="s">
        <v>25</v>
      </c>
      <c r="E21" s="5" t="s">
        <v>36</v>
      </c>
      <c r="F21" s="5" t="s">
        <v>45</v>
      </c>
      <c r="G21" s="5" t="s">
        <v>50</v>
      </c>
      <c r="H21" s="5" t="s">
        <v>22</v>
      </c>
      <c r="I21" s="32">
        <v>41.57</v>
      </c>
      <c r="J21" s="6">
        <v>16</v>
      </c>
      <c r="K21" s="32">
        <f t="shared" si="0"/>
        <v>665.12</v>
      </c>
      <c r="L21" s="7">
        <v>0.05</v>
      </c>
      <c r="M21" s="32">
        <f t="shared" si="1"/>
        <v>664.78744000000006</v>
      </c>
      <c r="N21" s="32">
        <v>388.96</v>
      </c>
      <c r="O21" s="32">
        <f t="shared" si="2"/>
        <v>275.82744000000008</v>
      </c>
      <c r="P21" s="8">
        <f t="shared" si="3"/>
        <v>0.4149107269535659</v>
      </c>
    </row>
    <row r="22" spans="1:16" x14ac:dyDescent="0.25">
      <c r="A22" s="1" t="s">
        <v>81</v>
      </c>
      <c r="B22" s="30">
        <v>45279</v>
      </c>
      <c r="C22" s="1" t="s">
        <v>82</v>
      </c>
      <c r="D22" s="1" t="s">
        <v>18</v>
      </c>
      <c r="E22" s="1" t="s">
        <v>83</v>
      </c>
      <c r="F22" s="1" t="s">
        <v>26</v>
      </c>
      <c r="G22" s="1" t="s">
        <v>31</v>
      </c>
      <c r="H22" s="1" t="s">
        <v>56</v>
      </c>
      <c r="I22" s="33">
        <v>199.04</v>
      </c>
      <c r="J22" s="2">
        <v>4</v>
      </c>
      <c r="K22" s="33">
        <f t="shared" si="0"/>
        <v>796.16</v>
      </c>
      <c r="L22" s="3">
        <v>0.15</v>
      </c>
      <c r="M22" s="33">
        <f t="shared" si="1"/>
        <v>794.96576000000005</v>
      </c>
      <c r="N22" s="33">
        <v>428.79</v>
      </c>
      <c r="O22" s="33">
        <f t="shared" si="2"/>
        <v>366.17576000000003</v>
      </c>
      <c r="P22" s="4">
        <f t="shared" si="3"/>
        <v>0.46061827870423</v>
      </c>
    </row>
    <row r="23" spans="1:16" x14ac:dyDescent="0.25">
      <c r="A23" s="5" t="s">
        <v>84</v>
      </c>
      <c r="B23" s="31">
        <v>45122</v>
      </c>
      <c r="C23" s="5" t="s">
        <v>34</v>
      </c>
      <c r="D23" s="5" t="s">
        <v>35</v>
      </c>
      <c r="E23" s="5" t="s">
        <v>19</v>
      </c>
      <c r="F23" s="5" t="s">
        <v>45</v>
      </c>
      <c r="G23" s="5" t="s">
        <v>85</v>
      </c>
      <c r="H23" s="5" t="s">
        <v>56</v>
      </c>
      <c r="I23" s="32">
        <v>252.82</v>
      </c>
      <c r="J23" s="6">
        <v>26</v>
      </c>
      <c r="K23" s="32">
        <f t="shared" si="0"/>
        <v>6573.32</v>
      </c>
      <c r="L23" s="7">
        <v>0</v>
      </c>
      <c r="M23" s="32">
        <f t="shared" si="1"/>
        <v>6573.32</v>
      </c>
      <c r="N23" s="32">
        <v>3366.64</v>
      </c>
      <c r="O23" s="32">
        <f t="shared" si="2"/>
        <v>3206.68</v>
      </c>
      <c r="P23" s="8">
        <f t="shared" si="3"/>
        <v>0.48783263252055276</v>
      </c>
    </row>
    <row r="24" spans="1:16" x14ac:dyDescent="0.25">
      <c r="A24" s="1" t="s">
        <v>86</v>
      </c>
      <c r="B24" s="30">
        <v>45034</v>
      </c>
      <c r="C24" s="1" t="s">
        <v>74</v>
      </c>
      <c r="D24" s="1" t="s">
        <v>49</v>
      </c>
      <c r="E24" s="1" t="s">
        <v>83</v>
      </c>
      <c r="F24" s="1" t="s">
        <v>26</v>
      </c>
      <c r="G24" s="1" t="s">
        <v>31</v>
      </c>
      <c r="H24" s="1" t="s">
        <v>51</v>
      </c>
      <c r="I24" s="33">
        <v>207.85</v>
      </c>
      <c r="J24" s="2">
        <v>8</v>
      </c>
      <c r="K24" s="33">
        <f t="shared" si="0"/>
        <v>1662.8</v>
      </c>
      <c r="L24" s="3">
        <v>0</v>
      </c>
      <c r="M24" s="33">
        <f t="shared" si="1"/>
        <v>1662.8</v>
      </c>
      <c r="N24" s="33">
        <v>932.49</v>
      </c>
      <c r="O24" s="33">
        <f t="shared" si="2"/>
        <v>730.31</v>
      </c>
      <c r="P24" s="4">
        <f t="shared" si="3"/>
        <v>0.43920495549675242</v>
      </c>
    </row>
    <row r="25" spans="1:16" x14ac:dyDescent="0.25">
      <c r="A25" s="5" t="s">
        <v>87</v>
      </c>
      <c r="B25" s="31">
        <v>45173</v>
      </c>
      <c r="C25" s="5" t="s">
        <v>71</v>
      </c>
      <c r="D25" s="5" t="s">
        <v>35</v>
      </c>
      <c r="E25" s="5" t="s">
        <v>19</v>
      </c>
      <c r="F25" s="5" t="s">
        <v>40</v>
      </c>
      <c r="G25" s="5" t="s">
        <v>63</v>
      </c>
      <c r="H25" s="5" t="s">
        <v>64</v>
      </c>
      <c r="I25" s="32">
        <v>34.08</v>
      </c>
      <c r="J25" s="6">
        <v>28</v>
      </c>
      <c r="K25" s="32">
        <f t="shared" si="0"/>
        <v>954.24</v>
      </c>
      <c r="L25" s="7">
        <v>0.05</v>
      </c>
      <c r="M25" s="32">
        <f t="shared" si="1"/>
        <v>953.76288000000011</v>
      </c>
      <c r="N25" s="32">
        <v>469.08</v>
      </c>
      <c r="O25" s="32">
        <f t="shared" si="2"/>
        <v>484.68288000000013</v>
      </c>
      <c r="P25" s="8">
        <f t="shared" si="3"/>
        <v>0.50817964314149033</v>
      </c>
    </row>
    <row r="26" spans="1:16" x14ac:dyDescent="0.25">
      <c r="A26" s="1" t="s">
        <v>88</v>
      </c>
      <c r="B26" s="30">
        <v>45154</v>
      </c>
      <c r="C26" s="1" t="s">
        <v>62</v>
      </c>
      <c r="D26" s="1" t="s">
        <v>35</v>
      </c>
      <c r="E26" s="1" t="s">
        <v>44</v>
      </c>
      <c r="F26" s="1" t="s">
        <v>66</v>
      </c>
      <c r="G26" s="1" t="s">
        <v>72</v>
      </c>
      <c r="H26" s="1" t="s">
        <v>51</v>
      </c>
      <c r="I26" s="33">
        <v>16.34</v>
      </c>
      <c r="J26" s="2">
        <v>13</v>
      </c>
      <c r="K26" s="33">
        <f t="shared" si="0"/>
        <v>212.42</v>
      </c>
      <c r="L26" s="3">
        <v>0.05</v>
      </c>
      <c r="M26" s="33">
        <f t="shared" si="1"/>
        <v>212.31379000000001</v>
      </c>
      <c r="N26" s="33">
        <v>144.81</v>
      </c>
      <c r="O26" s="33">
        <f t="shared" si="2"/>
        <v>67.503790000000009</v>
      </c>
      <c r="P26" s="4">
        <f t="shared" si="3"/>
        <v>0.31794350239803076</v>
      </c>
    </row>
    <row r="27" spans="1:16" x14ac:dyDescent="0.25">
      <c r="A27" s="5" t="s">
        <v>89</v>
      </c>
      <c r="B27" s="31">
        <v>45148</v>
      </c>
      <c r="C27" s="5" t="s">
        <v>62</v>
      </c>
      <c r="D27" s="5" t="s">
        <v>35</v>
      </c>
      <c r="E27" s="5" t="s">
        <v>83</v>
      </c>
      <c r="F27" s="5" t="s">
        <v>40</v>
      </c>
      <c r="G27" s="5" t="s">
        <v>59</v>
      </c>
      <c r="H27" s="5" t="s">
        <v>51</v>
      </c>
      <c r="I27" s="32">
        <v>9.9499999999999993</v>
      </c>
      <c r="J27" s="6">
        <v>7</v>
      </c>
      <c r="K27" s="32">
        <f t="shared" si="0"/>
        <v>69.649999999999991</v>
      </c>
      <c r="L27" s="7">
        <v>0</v>
      </c>
      <c r="M27" s="32">
        <f t="shared" si="1"/>
        <v>69.649999999999991</v>
      </c>
      <c r="N27" s="32">
        <v>41.43</v>
      </c>
      <c r="O27" s="32">
        <f t="shared" si="2"/>
        <v>28.219999999999992</v>
      </c>
      <c r="P27" s="8">
        <f t="shared" si="3"/>
        <v>0.40516870064608751</v>
      </c>
    </row>
    <row r="28" spans="1:16" x14ac:dyDescent="0.25">
      <c r="A28" s="1" t="s">
        <v>90</v>
      </c>
      <c r="B28" s="30">
        <v>45171</v>
      </c>
      <c r="C28" s="1" t="s">
        <v>71</v>
      </c>
      <c r="D28" s="1" t="s">
        <v>35</v>
      </c>
      <c r="E28" s="1" t="s">
        <v>36</v>
      </c>
      <c r="F28" s="1" t="s">
        <v>45</v>
      </c>
      <c r="G28" s="1" t="s">
        <v>85</v>
      </c>
      <c r="H28" s="1" t="s">
        <v>68</v>
      </c>
      <c r="I28" s="33">
        <v>230.29</v>
      </c>
      <c r="J28" s="2">
        <v>28</v>
      </c>
      <c r="K28" s="33">
        <f t="shared" si="0"/>
        <v>6448.12</v>
      </c>
      <c r="L28" s="3">
        <v>0</v>
      </c>
      <c r="M28" s="33">
        <f t="shared" si="1"/>
        <v>6448.12</v>
      </c>
      <c r="N28" s="33">
        <v>2993.28</v>
      </c>
      <c r="O28" s="33">
        <f t="shared" si="2"/>
        <v>3454.8399999999997</v>
      </c>
      <c r="P28" s="4">
        <f t="shared" si="3"/>
        <v>0.53579027685588976</v>
      </c>
    </row>
    <row r="29" spans="1:16" x14ac:dyDescent="0.25">
      <c r="A29" s="5" t="s">
        <v>91</v>
      </c>
      <c r="B29" s="31">
        <v>45172</v>
      </c>
      <c r="C29" s="5" t="s">
        <v>71</v>
      </c>
      <c r="D29" s="5" t="s">
        <v>35</v>
      </c>
      <c r="E29" s="5" t="s">
        <v>44</v>
      </c>
      <c r="F29" s="5" t="s">
        <v>45</v>
      </c>
      <c r="G29" s="5" t="s">
        <v>50</v>
      </c>
      <c r="H29" s="5" t="s">
        <v>64</v>
      </c>
      <c r="I29" s="32">
        <v>49.5</v>
      </c>
      <c r="J29" s="6">
        <v>8</v>
      </c>
      <c r="K29" s="32">
        <f t="shared" si="0"/>
        <v>396</v>
      </c>
      <c r="L29" s="7">
        <v>0.15</v>
      </c>
      <c r="M29" s="32">
        <f t="shared" si="1"/>
        <v>395.40600000000001</v>
      </c>
      <c r="N29" s="32">
        <v>190.09</v>
      </c>
      <c r="O29" s="32">
        <f t="shared" si="2"/>
        <v>205.316</v>
      </c>
      <c r="P29" s="8">
        <f t="shared" si="3"/>
        <v>0.51925362791662244</v>
      </c>
    </row>
    <row r="30" spans="1:16" x14ac:dyDescent="0.25">
      <c r="A30" s="1" t="s">
        <v>92</v>
      </c>
      <c r="B30" s="30">
        <v>45207</v>
      </c>
      <c r="C30" s="1" t="s">
        <v>30</v>
      </c>
      <c r="D30" s="1" t="s">
        <v>18</v>
      </c>
      <c r="E30" s="1" t="s">
        <v>19</v>
      </c>
      <c r="F30" s="1" t="s">
        <v>40</v>
      </c>
      <c r="G30" s="1" t="s">
        <v>63</v>
      </c>
      <c r="H30" s="1" t="s">
        <v>56</v>
      </c>
      <c r="I30" s="33">
        <v>30.72</v>
      </c>
      <c r="J30" s="2">
        <v>19</v>
      </c>
      <c r="K30" s="33">
        <f t="shared" si="0"/>
        <v>583.67999999999995</v>
      </c>
      <c r="L30" s="3">
        <v>0.1</v>
      </c>
      <c r="M30" s="33">
        <f t="shared" si="1"/>
        <v>583.09631999999999</v>
      </c>
      <c r="N30" s="33">
        <v>399.01</v>
      </c>
      <c r="O30" s="33">
        <f t="shared" si="2"/>
        <v>184.08632</v>
      </c>
      <c r="P30" s="4">
        <f t="shared" si="3"/>
        <v>0.31570482214670814</v>
      </c>
    </row>
    <row r="31" spans="1:16" x14ac:dyDescent="0.25">
      <c r="A31" s="5" t="s">
        <v>93</v>
      </c>
      <c r="B31" s="31">
        <v>45038</v>
      </c>
      <c r="C31" s="5" t="s">
        <v>74</v>
      </c>
      <c r="D31" s="5" t="s">
        <v>49</v>
      </c>
      <c r="E31" s="5" t="s">
        <v>36</v>
      </c>
      <c r="F31" s="5" t="s">
        <v>26</v>
      </c>
      <c r="G31" s="5" t="s">
        <v>94</v>
      </c>
      <c r="H31" s="5" t="s">
        <v>56</v>
      </c>
      <c r="I31" s="32">
        <v>86.89</v>
      </c>
      <c r="J31" s="6">
        <v>21</v>
      </c>
      <c r="K31" s="32">
        <f t="shared" si="0"/>
        <v>1824.69</v>
      </c>
      <c r="L31" s="7">
        <v>0.05</v>
      </c>
      <c r="M31" s="32">
        <f t="shared" si="1"/>
        <v>1823.7776550000001</v>
      </c>
      <c r="N31" s="32">
        <v>1029.68</v>
      </c>
      <c r="O31" s="32">
        <f t="shared" si="2"/>
        <v>794.09765500000003</v>
      </c>
      <c r="P31" s="8">
        <f t="shared" si="3"/>
        <v>0.43541363324796301</v>
      </c>
    </row>
    <row r="32" spans="1:16" x14ac:dyDescent="0.25">
      <c r="A32" s="1" t="s">
        <v>95</v>
      </c>
      <c r="B32" s="30">
        <v>44958</v>
      </c>
      <c r="C32" s="1" t="s">
        <v>43</v>
      </c>
      <c r="D32" s="1" t="s">
        <v>25</v>
      </c>
      <c r="E32" s="1" t="s">
        <v>83</v>
      </c>
      <c r="F32" s="1" t="s">
        <v>40</v>
      </c>
      <c r="G32" s="1" t="s">
        <v>96</v>
      </c>
      <c r="H32" s="1" t="s">
        <v>64</v>
      </c>
      <c r="I32" s="33">
        <v>11.24</v>
      </c>
      <c r="J32" s="2">
        <v>7</v>
      </c>
      <c r="K32" s="33">
        <f t="shared" si="0"/>
        <v>78.680000000000007</v>
      </c>
      <c r="L32" s="3">
        <v>0.05</v>
      </c>
      <c r="M32" s="33">
        <f t="shared" si="1"/>
        <v>78.640660000000011</v>
      </c>
      <c r="N32" s="33">
        <v>38.01</v>
      </c>
      <c r="O32" s="33">
        <f t="shared" si="2"/>
        <v>40.630660000000013</v>
      </c>
      <c r="P32" s="4">
        <f t="shared" si="3"/>
        <v>0.5166622457136042</v>
      </c>
    </row>
    <row r="33" spans="1:16" x14ac:dyDescent="0.25">
      <c r="A33" s="5" t="s">
        <v>97</v>
      </c>
      <c r="B33" s="31">
        <v>45080</v>
      </c>
      <c r="C33" s="5" t="s">
        <v>48</v>
      </c>
      <c r="D33" s="5" t="s">
        <v>49</v>
      </c>
      <c r="E33" s="5" t="s">
        <v>44</v>
      </c>
      <c r="F33" s="5" t="s">
        <v>20</v>
      </c>
      <c r="G33" s="5" t="s">
        <v>98</v>
      </c>
      <c r="H33" s="5" t="s">
        <v>51</v>
      </c>
      <c r="I33" s="32">
        <v>13.43</v>
      </c>
      <c r="J33" s="6">
        <v>18</v>
      </c>
      <c r="K33" s="32">
        <f t="shared" si="0"/>
        <v>241.74</v>
      </c>
      <c r="L33" s="7">
        <v>0.05</v>
      </c>
      <c r="M33" s="32">
        <f t="shared" si="1"/>
        <v>241.61913000000001</v>
      </c>
      <c r="N33" s="32">
        <v>145.74</v>
      </c>
      <c r="O33" s="32">
        <f t="shared" si="2"/>
        <v>95.879130000000004</v>
      </c>
      <c r="P33" s="8">
        <f t="shared" si="3"/>
        <v>0.39681928330757582</v>
      </c>
    </row>
    <row r="34" spans="1:16" x14ac:dyDescent="0.25">
      <c r="A34" s="1" t="s">
        <v>99</v>
      </c>
      <c r="B34" s="30">
        <v>45247</v>
      </c>
      <c r="C34" s="1" t="s">
        <v>17</v>
      </c>
      <c r="D34" s="1" t="s">
        <v>18</v>
      </c>
      <c r="E34" s="1" t="s">
        <v>19</v>
      </c>
      <c r="F34" s="1" t="s">
        <v>40</v>
      </c>
      <c r="G34" s="1" t="s">
        <v>41</v>
      </c>
      <c r="H34" s="1" t="s">
        <v>64</v>
      </c>
      <c r="I34" s="33">
        <v>75.319999999999993</v>
      </c>
      <c r="J34" s="2">
        <v>5</v>
      </c>
      <c r="K34" s="33">
        <f t="shared" si="0"/>
        <v>376.59999999999997</v>
      </c>
      <c r="L34" s="3">
        <v>0.05</v>
      </c>
      <c r="M34" s="33">
        <f t="shared" si="1"/>
        <v>376.4117</v>
      </c>
      <c r="N34" s="33">
        <v>180.34</v>
      </c>
      <c r="O34" s="33">
        <f t="shared" si="2"/>
        <v>196.07169999999999</v>
      </c>
      <c r="P34" s="4">
        <f t="shared" si="3"/>
        <v>0.52089693279991034</v>
      </c>
    </row>
    <row r="35" spans="1:16" x14ac:dyDescent="0.25">
      <c r="A35" s="5" t="s">
        <v>100</v>
      </c>
      <c r="B35" s="31">
        <v>44981</v>
      </c>
      <c r="C35" s="5" t="s">
        <v>43</v>
      </c>
      <c r="D35" s="5" t="s">
        <v>25</v>
      </c>
      <c r="E35" s="5" t="s">
        <v>44</v>
      </c>
      <c r="F35" s="5" t="s">
        <v>20</v>
      </c>
      <c r="G35" s="5" t="s">
        <v>98</v>
      </c>
      <c r="H35" s="5" t="s">
        <v>22</v>
      </c>
      <c r="I35" s="32">
        <v>15.11</v>
      </c>
      <c r="J35" s="6">
        <v>7</v>
      </c>
      <c r="K35" s="32">
        <f t="shared" si="0"/>
        <v>105.77</v>
      </c>
      <c r="L35" s="7">
        <v>0.05</v>
      </c>
      <c r="M35" s="32">
        <f t="shared" si="1"/>
        <v>105.71711500000001</v>
      </c>
      <c r="N35" s="32">
        <v>60.94</v>
      </c>
      <c r="O35" s="32">
        <f t="shared" si="2"/>
        <v>44.777115000000009</v>
      </c>
      <c r="P35" s="8">
        <f t="shared" si="3"/>
        <v>0.42355596820817526</v>
      </c>
    </row>
    <row r="36" spans="1:16" x14ac:dyDescent="0.25">
      <c r="A36" s="1" t="s">
        <v>101</v>
      </c>
      <c r="B36" s="30">
        <v>45074</v>
      </c>
      <c r="C36" s="1" t="s">
        <v>53</v>
      </c>
      <c r="D36" s="1" t="s">
        <v>49</v>
      </c>
      <c r="E36" s="1" t="s">
        <v>19</v>
      </c>
      <c r="F36" s="1" t="s">
        <v>45</v>
      </c>
      <c r="G36" s="1" t="s">
        <v>46</v>
      </c>
      <c r="H36" s="1" t="s">
        <v>38</v>
      </c>
      <c r="I36" s="33">
        <v>46.1</v>
      </c>
      <c r="J36" s="2">
        <v>11</v>
      </c>
      <c r="K36" s="33">
        <f t="shared" si="0"/>
        <v>507.1</v>
      </c>
      <c r="L36" s="3">
        <v>0</v>
      </c>
      <c r="M36" s="33">
        <f t="shared" si="1"/>
        <v>507.1</v>
      </c>
      <c r="N36" s="33">
        <v>308.98</v>
      </c>
      <c r="O36" s="33">
        <f t="shared" si="2"/>
        <v>198.12</v>
      </c>
      <c r="P36" s="4">
        <f t="shared" si="3"/>
        <v>0.39069217116939459</v>
      </c>
    </row>
    <row r="37" spans="1:16" x14ac:dyDescent="0.25">
      <c r="A37" s="5" t="s">
        <v>102</v>
      </c>
      <c r="B37" s="31">
        <v>45052</v>
      </c>
      <c r="C37" s="5" t="s">
        <v>53</v>
      </c>
      <c r="D37" s="5" t="s">
        <v>49</v>
      </c>
      <c r="E37" s="5" t="s">
        <v>83</v>
      </c>
      <c r="F37" s="5" t="s">
        <v>40</v>
      </c>
      <c r="G37" s="5" t="s">
        <v>59</v>
      </c>
      <c r="H37" s="5" t="s">
        <v>28</v>
      </c>
      <c r="I37" s="32">
        <v>9.56</v>
      </c>
      <c r="J37" s="6">
        <v>29</v>
      </c>
      <c r="K37" s="32">
        <f t="shared" si="0"/>
        <v>277.24</v>
      </c>
      <c r="L37" s="7">
        <v>0</v>
      </c>
      <c r="M37" s="32">
        <f t="shared" si="1"/>
        <v>277.24</v>
      </c>
      <c r="N37" s="32">
        <v>162.56</v>
      </c>
      <c r="O37" s="32">
        <f t="shared" si="2"/>
        <v>114.68</v>
      </c>
      <c r="P37" s="8">
        <f t="shared" si="3"/>
        <v>0.41364882412350312</v>
      </c>
    </row>
    <row r="38" spans="1:16" x14ac:dyDescent="0.25">
      <c r="A38" s="1" t="s">
        <v>103</v>
      </c>
      <c r="B38" s="30">
        <v>45096</v>
      </c>
      <c r="C38" s="1" t="s">
        <v>48</v>
      </c>
      <c r="D38" s="1" t="s">
        <v>49</v>
      </c>
      <c r="E38" s="1" t="s">
        <v>44</v>
      </c>
      <c r="F38" s="1" t="s">
        <v>66</v>
      </c>
      <c r="G38" s="1" t="s">
        <v>67</v>
      </c>
      <c r="H38" s="1" t="s">
        <v>28</v>
      </c>
      <c r="I38" s="33">
        <v>63.25</v>
      </c>
      <c r="J38" s="2">
        <v>29</v>
      </c>
      <c r="K38" s="33">
        <f t="shared" si="0"/>
        <v>1834.25</v>
      </c>
      <c r="L38" s="3">
        <v>0</v>
      </c>
      <c r="M38" s="33">
        <f t="shared" si="1"/>
        <v>1834.25</v>
      </c>
      <c r="N38" s="33">
        <v>1237.58</v>
      </c>
      <c r="O38" s="33">
        <f t="shared" si="2"/>
        <v>596.67000000000007</v>
      </c>
      <c r="P38" s="4">
        <f t="shared" si="3"/>
        <v>0.3252937167779747</v>
      </c>
    </row>
    <row r="39" spans="1:16" x14ac:dyDescent="0.25">
      <c r="A39" s="5" t="s">
        <v>104</v>
      </c>
      <c r="B39" s="31">
        <v>45038</v>
      </c>
      <c r="C39" s="5" t="s">
        <v>74</v>
      </c>
      <c r="D39" s="5" t="s">
        <v>49</v>
      </c>
      <c r="E39" s="5" t="s">
        <v>44</v>
      </c>
      <c r="F39" s="5" t="s">
        <v>45</v>
      </c>
      <c r="G39" s="5" t="s">
        <v>105</v>
      </c>
      <c r="H39" s="5" t="s">
        <v>56</v>
      </c>
      <c r="I39" s="32">
        <v>41.61</v>
      </c>
      <c r="J39" s="6">
        <v>24</v>
      </c>
      <c r="K39" s="32">
        <f t="shared" si="0"/>
        <v>998.64</v>
      </c>
      <c r="L39" s="7">
        <v>0</v>
      </c>
      <c r="M39" s="32">
        <f t="shared" si="1"/>
        <v>998.64</v>
      </c>
      <c r="N39" s="32">
        <v>680.47</v>
      </c>
      <c r="O39" s="32">
        <f t="shared" si="2"/>
        <v>318.16999999999996</v>
      </c>
      <c r="P39" s="8">
        <f t="shared" si="3"/>
        <v>0.31860330048866453</v>
      </c>
    </row>
    <row r="40" spans="1:16" x14ac:dyDescent="0.25">
      <c r="A40" s="1" t="s">
        <v>106</v>
      </c>
      <c r="B40" s="30">
        <v>45044</v>
      </c>
      <c r="C40" s="1" t="s">
        <v>74</v>
      </c>
      <c r="D40" s="1" t="s">
        <v>49</v>
      </c>
      <c r="E40" s="1" t="s">
        <v>44</v>
      </c>
      <c r="F40" s="1" t="s">
        <v>26</v>
      </c>
      <c r="G40" s="1" t="s">
        <v>31</v>
      </c>
      <c r="H40" s="1" t="s">
        <v>28</v>
      </c>
      <c r="I40" s="33">
        <v>197.94</v>
      </c>
      <c r="J40" s="2">
        <v>30</v>
      </c>
      <c r="K40" s="33">
        <f t="shared" si="0"/>
        <v>5938.2</v>
      </c>
      <c r="L40" s="3">
        <v>0.1</v>
      </c>
      <c r="M40" s="33">
        <f t="shared" si="1"/>
        <v>5932.2618000000002</v>
      </c>
      <c r="N40" s="33">
        <v>3833.61</v>
      </c>
      <c r="O40" s="33">
        <f t="shared" si="2"/>
        <v>2098.6518000000001</v>
      </c>
      <c r="P40" s="4">
        <f t="shared" si="3"/>
        <v>0.35376924868690052</v>
      </c>
    </row>
    <row r="41" spans="1:16" x14ac:dyDescent="0.25">
      <c r="A41" s="5" t="s">
        <v>107</v>
      </c>
      <c r="B41" s="31">
        <v>45133</v>
      </c>
      <c r="C41" s="5" t="s">
        <v>34</v>
      </c>
      <c r="D41" s="5" t="s">
        <v>35</v>
      </c>
      <c r="E41" s="5" t="s">
        <v>44</v>
      </c>
      <c r="F41" s="5" t="s">
        <v>20</v>
      </c>
      <c r="G41" s="5" t="s">
        <v>21</v>
      </c>
      <c r="H41" s="5" t="s">
        <v>64</v>
      </c>
      <c r="I41" s="32">
        <v>5.46</v>
      </c>
      <c r="J41" s="6">
        <v>2</v>
      </c>
      <c r="K41" s="32">
        <f t="shared" si="0"/>
        <v>10.92</v>
      </c>
      <c r="L41" s="7">
        <v>0.2</v>
      </c>
      <c r="M41" s="32">
        <f t="shared" si="1"/>
        <v>10.898160000000001</v>
      </c>
      <c r="N41" s="32">
        <v>5.52</v>
      </c>
      <c r="O41" s="32">
        <f t="shared" si="2"/>
        <v>5.3781600000000012</v>
      </c>
      <c r="P41" s="8">
        <f t="shared" si="3"/>
        <v>0.49349247946442343</v>
      </c>
    </row>
    <row r="42" spans="1:16" x14ac:dyDescent="0.25">
      <c r="A42" s="1" t="s">
        <v>108</v>
      </c>
      <c r="B42" s="30">
        <v>45150</v>
      </c>
      <c r="C42" s="1" t="s">
        <v>62</v>
      </c>
      <c r="D42" s="1" t="s">
        <v>35</v>
      </c>
      <c r="E42" s="1" t="s">
        <v>36</v>
      </c>
      <c r="F42" s="1" t="s">
        <v>26</v>
      </c>
      <c r="G42" s="1" t="s">
        <v>27</v>
      </c>
      <c r="H42" s="1" t="s">
        <v>28</v>
      </c>
      <c r="I42" s="33">
        <v>184.5</v>
      </c>
      <c r="J42" s="2">
        <v>13</v>
      </c>
      <c r="K42" s="33">
        <f t="shared" si="0"/>
        <v>2398.5</v>
      </c>
      <c r="L42" s="3">
        <v>0.1</v>
      </c>
      <c r="M42" s="33">
        <f t="shared" si="1"/>
        <v>2396.1015000000002</v>
      </c>
      <c r="N42" s="33">
        <v>1246.4000000000001</v>
      </c>
      <c r="O42" s="33">
        <f t="shared" si="2"/>
        <v>1149.7015000000001</v>
      </c>
      <c r="P42" s="4">
        <f t="shared" si="3"/>
        <v>0.47982170204392427</v>
      </c>
    </row>
    <row r="43" spans="1:16" x14ac:dyDescent="0.25">
      <c r="A43" s="5" t="s">
        <v>109</v>
      </c>
      <c r="B43" s="31">
        <v>44982</v>
      </c>
      <c r="C43" s="5" t="s">
        <v>43</v>
      </c>
      <c r="D43" s="5" t="s">
        <v>25</v>
      </c>
      <c r="E43" s="5" t="s">
        <v>36</v>
      </c>
      <c r="F43" s="5" t="s">
        <v>20</v>
      </c>
      <c r="G43" s="5" t="s">
        <v>37</v>
      </c>
      <c r="H43" s="5" t="s">
        <v>56</v>
      </c>
      <c r="I43" s="32">
        <v>7.44</v>
      </c>
      <c r="J43" s="6">
        <v>27</v>
      </c>
      <c r="K43" s="32">
        <f t="shared" si="0"/>
        <v>200.88000000000002</v>
      </c>
      <c r="L43" s="7">
        <v>0.1</v>
      </c>
      <c r="M43" s="32">
        <f t="shared" si="1"/>
        <v>200.67912000000001</v>
      </c>
      <c r="N43" s="32">
        <v>137.54</v>
      </c>
      <c r="O43" s="32">
        <f t="shared" si="2"/>
        <v>63.13912000000002</v>
      </c>
      <c r="P43" s="8">
        <f t="shared" si="3"/>
        <v>0.3146272517041136</v>
      </c>
    </row>
    <row r="44" spans="1:16" x14ac:dyDescent="0.25">
      <c r="A44" s="1" t="s">
        <v>110</v>
      </c>
      <c r="B44" s="30">
        <v>44966</v>
      </c>
      <c r="C44" s="1" t="s">
        <v>43</v>
      </c>
      <c r="D44" s="1" t="s">
        <v>25</v>
      </c>
      <c r="E44" s="1" t="s">
        <v>44</v>
      </c>
      <c r="F44" s="1" t="s">
        <v>40</v>
      </c>
      <c r="G44" s="1" t="s">
        <v>41</v>
      </c>
      <c r="H44" s="1" t="s">
        <v>28</v>
      </c>
      <c r="I44" s="33">
        <v>52.48</v>
      </c>
      <c r="J44" s="2">
        <v>14</v>
      </c>
      <c r="K44" s="33">
        <f t="shared" si="0"/>
        <v>734.71999999999991</v>
      </c>
      <c r="L44" s="3">
        <v>0.1</v>
      </c>
      <c r="M44" s="33">
        <f t="shared" si="1"/>
        <v>733.98527999999988</v>
      </c>
      <c r="N44" s="33">
        <v>464.45</v>
      </c>
      <c r="O44" s="33">
        <f t="shared" si="2"/>
        <v>269.53527999999989</v>
      </c>
      <c r="P44" s="4">
        <f t="shared" si="3"/>
        <v>0.36722164237408128</v>
      </c>
    </row>
    <row r="45" spans="1:16" x14ac:dyDescent="0.25">
      <c r="A45" s="5" t="s">
        <v>111</v>
      </c>
      <c r="B45" s="31">
        <v>45091</v>
      </c>
      <c r="C45" s="5" t="s">
        <v>48</v>
      </c>
      <c r="D45" s="5" t="s">
        <v>49</v>
      </c>
      <c r="E45" s="5" t="s">
        <v>19</v>
      </c>
      <c r="F45" s="5" t="s">
        <v>66</v>
      </c>
      <c r="G45" s="5" t="s">
        <v>77</v>
      </c>
      <c r="H45" s="5" t="s">
        <v>22</v>
      </c>
      <c r="I45" s="32">
        <v>18.489999999999998</v>
      </c>
      <c r="J45" s="6">
        <v>23</v>
      </c>
      <c r="K45" s="32">
        <f t="shared" si="0"/>
        <v>425.27</v>
      </c>
      <c r="L45" s="7">
        <v>0.15</v>
      </c>
      <c r="M45" s="32">
        <f t="shared" si="1"/>
        <v>424.63209499999999</v>
      </c>
      <c r="N45" s="32">
        <v>191.58</v>
      </c>
      <c r="O45" s="32">
        <f t="shared" si="2"/>
        <v>233.05209499999998</v>
      </c>
      <c r="P45" s="8">
        <f t="shared" si="3"/>
        <v>0.54883297269369147</v>
      </c>
    </row>
    <row r="46" spans="1:16" x14ac:dyDescent="0.25">
      <c r="A46" s="1" t="s">
        <v>112</v>
      </c>
      <c r="B46" s="30">
        <v>45191</v>
      </c>
      <c r="C46" s="1" t="s">
        <v>71</v>
      </c>
      <c r="D46" s="1" t="s">
        <v>35</v>
      </c>
      <c r="E46" s="1" t="s">
        <v>44</v>
      </c>
      <c r="F46" s="1" t="s">
        <v>20</v>
      </c>
      <c r="G46" s="1" t="s">
        <v>113</v>
      </c>
      <c r="H46" s="1" t="s">
        <v>64</v>
      </c>
      <c r="I46" s="33">
        <v>27.49</v>
      </c>
      <c r="J46" s="2">
        <v>30</v>
      </c>
      <c r="K46" s="33">
        <f t="shared" si="0"/>
        <v>824.69999999999993</v>
      </c>
      <c r="L46" s="3">
        <v>0.1</v>
      </c>
      <c r="M46" s="33">
        <f t="shared" si="1"/>
        <v>823.87529999999992</v>
      </c>
      <c r="N46" s="33">
        <v>499.57</v>
      </c>
      <c r="O46" s="33">
        <f t="shared" si="2"/>
        <v>324.30529999999993</v>
      </c>
      <c r="P46" s="4">
        <f t="shared" si="3"/>
        <v>0.39363396378068377</v>
      </c>
    </row>
    <row r="47" spans="1:16" x14ac:dyDescent="0.25">
      <c r="A47" s="5" t="s">
        <v>114</v>
      </c>
      <c r="B47" s="31">
        <v>45258</v>
      </c>
      <c r="C47" s="5" t="s">
        <v>17</v>
      </c>
      <c r="D47" s="5" t="s">
        <v>18</v>
      </c>
      <c r="E47" s="5" t="s">
        <v>19</v>
      </c>
      <c r="F47" s="5" t="s">
        <v>20</v>
      </c>
      <c r="G47" s="5" t="s">
        <v>37</v>
      </c>
      <c r="H47" s="5" t="s">
        <v>38</v>
      </c>
      <c r="I47" s="32">
        <v>7.4</v>
      </c>
      <c r="J47" s="6">
        <v>11</v>
      </c>
      <c r="K47" s="32">
        <f t="shared" si="0"/>
        <v>81.400000000000006</v>
      </c>
      <c r="L47" s="7">
        <v>0.15</v>
      </c>
      <c r="M47" s="32">
        <f t="shared" si="1"/>
        <v>81.277900000000017</v>
      </c>
      <c r="N47" s="32">
        <v>50.82</v>
      </c>
      <c r="O47" s="32">
        <f t="shared" si="2"/>
        <v>30.457900000000016</v>
      </c>
      <c r="P47" s="8">
        <f t="shared" si="3"/>
        <v>0.37473778234919958</v>
      </c>
    </row>
    <row r="48" spans="1:16" x14ac:dyDescent="0.25">
      <c r="A48" s="1" t="s">
        <v>115</v>
      </c>
      <c r="B48" s="30">
        <v>45174</v>
      </c>
      <c r="C48" s="1" t="s">
        <v>71</v>
      </c>
      <c r="D48" s="1" t="s">
        <v>35</v>
      </c>
      <c r="E48" s="1" t="s">
        <v>44</v>
      </c>
      <c r="F48" s="1" t="s">
        <v>66</v>
      </c>
      <c r="G48" s="1" t="s">
        <v>116</v>
      </c>
      <c r="H48" s="1" t="s">
        <v>51</v>
      </c>
      <c r="I48" s="33">
        <v>84.54</v>
      </c>
      <c r="J48" s="2">
        <v>10</v>
      </c>
      <c r="K48" s="33">
        <f t="shared" si="0"/>
        <v>845.40000000000009</v>
      </c>
      <c r="L48" s="3">
        <v>0.15</v>
      </c>
      <c r="M48" s="33">
        <f t="shared" si="1"/>
        <v>844.13190000000009</v>
      </c>
      <c r="N48" s="33">
        <v>496.25</v>
      </c>
      <c r="O48" s="33">
        <f t="shared" si="2"/>
        <v>347.88190000000009</v>
      </c>
      <c r="P48" s="4">
        <f t="shared" si="3"/>
        <v>0.41211794033610155</v>
      </c>
    </row>
    <row r="49" spans="1:16" x14ac:dyDescent="0.25">
      <c r="A49" s="5" t="s">
        <v>117</v>
      </c>
      <c r="B49" s="31">
        <v>44936</v>
      </c>
      <c r="C49" s="5" t="s">
        <v>24</v>
      </c>
      <c r="D49" s="5" t="s">
        <v>25</v>
      </c>
      <c r="E49" s="5" t="s">
        <v>36</v>
      </c>
      <c r="F49" s="5" t="s">
        <v>26</v>
      </c>
      <c r="G49" s="5" t="s">
        <v>31</v>
      </c>
      <c r="H49" s="5" t="s">
        <v>32</v>
      </c>
      <c r="I49" s="32">
        <v>226.5</v>
      </c>
      <c r="J49" s="6">
        <v>15</v>
      </c>
      <c r="K49" s="32">
        <f t="shared" si="0"/>
        <v>3397.5</v>
      </c>
      <c r="L49" s="7">
        <v>0.05</v>
      </c>
      <c r="M49" s="32">
        <f t="shared" si="1"/>
        <v>3395.80125</v>
      </c>
      <c r="N49" s="32">
        <v>1963.04</v>
      </c>
      <c r="O49" s="32">
        <f t="shared" si="2"/>
        <v>1432.76125</v>
      </c>
      <c r="P49" s="8">
        <f t="shared" si="3"/>
        <v>0.42192140956423763</v>
      </c>
    </row>
    <row r="50" spans="1:16" x14ac:dyDescent="0.25">
      <c r="A50" s="1" t="s">
        <v>118</v>
      </c>
      <c r="B50" s="30">
        <v>45266</v>
      </c>
      <c r="C50" s="1" t="s">
        <v>82</v>
      </c>
      <c r="D50" s="1" t="s">
        <v>18</v>
      </c>
      <c r="E50" s="1" t="s">
        <v>19</v>
      </c>
      <c r="F50" s="1" t="s">
        <v>20</v>
      </c>
      <c r="G50" s="1" t="s">
        <v>37</v>
      </c>
      <c r="H50" s="1" t="s">
        <v>32</v>
      </c>
      <c r="I50" s="33">
        <v>5.68</v>
      </c>
      <c r="J50" s="2">
        <v>25</v>
      </c>
      <c r="K50" s="33">
        <f t="shared" si="0"/>
        <v>142</v>
      </c>
      <c r="L50" s="3">
        <v>0.05</v>
      </c>
      <c r="M50" s="33">
        <f t="shared" si="1"/>
        <v>141.929</v>
      </c>
      <c r="N50" s="33">
        <v>87.79</v>
      </c>
      <c r="O50" s="33">
        <f t="shared" si="2"/>
        <v>54.138999999999996</v>
      </c>
      <c r="P50" s="4">
        <f t="shared" si="3"/>
        <v>0.38145128902479403</v>
      </c>
    </row>
    <row r="51" spans="1:16" x14ac:dyDescent="0.25">
      <c r="A51" s="5" t="s">
        <v>119</v>
      </c>
      <c r="B51" s="31">
        <v>45042</v>
      </c>
      <c r="C51" s="5" t="s">
        <v>74</v>
      </c>
      <c r="D51" s="5" t="s">
        <v>49</v>
      </c>
      <c r="E51" s="5" t="s">
        <v>44</v>
      </c>
      <c r="F51" s="5" t="s">
        <v>26</v>
      </c>
      <c r="G51" s="5" t="s">
        <v>120</v>
      </c>
      <c r="H51" s="5" t="s">
        <v>28</v>
      </c>
      <c r="I51" s="32">
        <v>184.04</v>
      </c>
      <c r="J51" s="6">
        <v>16</v>
      </c>
      <c r="K51" s="32">
        <f t="shared" si="0"/>
        <v>2944.64</v>
      </c>
      <c r="L51" s="7">
        <v>0</v>
      </c>
      <c r="M51" s="32">
        <f t="shared" si="1"/>
        <v>2944.64</v>
      </c>
      <c r="N51" s="32">
        <v>1660.31</v>
      </c>
      <c r="O51" s="32">
        <f t="shared" si="2"/>
        <v>1284.33</v>
      </c>
      <c r="P51" s="8">
        <f t="shared" si="3"/>
        <v>0.43615857965659638</v>
      </c>
    </row>
    <row r="52" spans="1:16" x14ac:dyDescent="0.25">
      <c r="A52" s="1" t="s">
        <v>121</v>
      </c>
      <c r="B52" s="30">
        <v>45249</v>
      </c>
      <c r="C52" s="1" t="s">
        <v>17</v>
      </c>
      <c r="D52" s="1" t="s">
        <v>18</v>
      </c>
      <c r="E52" s="1" t="s">
        <v>44</v>
      </c>
      <c r="F52" s="1" t="s">
        <v>66</v>
      </c>
      <c r="G52" s="1" t="s">
        <v>116</v>
      </c>
      <c r="H52" s="1" t="s">
        <v>56</v>
      </c>
      <c r="I52" s="33">
        <v>71.540000000000006</v>
      </c>
      <c r="J52" s="2">
        <v>21</v>
      </c>
      <c r="K52" s="33">
        <f t="shared" si="0"/>
        <v>1502.3400000000001</v>
      </c>
      <c r="L52" s="3">
        <v>0</v>
      </c>
      <c r="M52" s="33">
        <f t="shared" si="1"/>
        <v>1502.3400000000001</v>
      </c>
      <c r="N52" s="33">
        <v>1011.31</v>
      </c>
      <c r="O52" s="33">
        <f t="shared" si="2"/>
        <v>491.0300000000002</v>
      </c>
      <c r="P52" s="4">
        <f t="shared" si="3"/>
        <v>0.32684345753957172</v>
      </c>
    </row>
    <row r="53" spans="1:16" x14ac:dyDescent="0.25">
      <c r="A53" s="5" t="s">
        <v>122</v>
      </c>
      <c r="B53" s="31">
        <v>44982</v>
      </c>
      <c r="C53" s="5" t="s">
        <v>43</v>
      </c>
      <c r="D53" s="5" t="s">
        <v>25</v>
      </c>
      <c r="E53" s="5" t="s">
        <v>83</v>
      </c>
      <c r="F53" s="5" t="s">
        <v>26</v>
      </c>
      <c r="G53" s="5" t="s">
        <v>27</v>
      </c>
      <c r="H53" s="5" t="s">
        <v>68</v>
      </c>
      <c r="I53" s="32">
        <v>138.77000000000001</v>
      </c>
      <c r="J53" s="6">
        <v>8</v>
      </c>
      <c r="K53" s="32">
        <f t="shared" si="0"/>
        <v>1110.1600000000001</v>
      </c>
      <c r="L53" s="7">
        <v>0</v>
      </c>
      <c r="M53" s="32">
        <f t="shared" si="1"/>
        <v>1110.1600000000001</v>
      </c>
      <c r="N53" s="32">
        <v>626.24</v>
      </c>
      <c r="O53" s="32">
        <f t="shared" si="2"/>
        <v>483.92000000000007</v>
      </c>
      <c r="P53" s="8">
        <f t="shared" si="3"/>
        <v>0.43590113136845143</v>
      </c>
    </row>
    <row r="54" spans="1:16" x14ac:dyDescent="0.25">
      <c r="A54" s="1" t="s">
        <v>123</v>
      </c>
      <c r="B54" s="30">
        <v>45160</v>
      </c>
      <c r="C54" s="1" t="s">
        <v>62</v>
      </c>
      <c r="D54" s="1" t="s">
        <v>35</v>
      </c>
      <c r="E54" s="1" t="s">
        <v>36</v>
      </c>
      <c r="F54" s="1" t="s">
        <v>66</v>
      </c>
      <c r="G54" s="1" t="s">
        <v>77</v>
      </c>
      <c r="H54" s="1" t="s">
        <v>56</v>
      </c>
      <c r="I54" s="33">
        <v>23.68</v>
      </c>
      <c r="J54" s="2">
        <v>18</v>
      </c>
      <c r="K54" s="33">
        <f t="shared" si="0"/>
        <v>426.24</v>
      </c>
      <c r="L54" s="3">
        <v>0.2</v>
      </c>
      <c r="M54" s="33">
        <f t="shared" si="1"/>
        <v>425.38751999999999</v>
      </c>
      <c r="N54" s="33">
        <v>287.36</v>
      </c>
      <c r="O54" s="33">
        <f t="shared" si="2"/>
        <v>138.02751999999998</v>
      </c>
      <c r="P54" s="4">
        <f t="shared" si="3"/>
        <v>0.32447477537657893</v>
      </c>
    </row>
    <row r="55" spans="1:16" x14ac:dyDescent="0.25">
      <c r="A55" s="5" t="s">
        <v>124</v>
      </c>
      <c r="B55" s="31">
        <v>45288</v>
      </c>
      <c r="C55" s="5" t="s">
        <v>82</v>
      </c>
      <c r="D55" s="5" t="s">
        <v>18</v>
      </c>
      <c r="E55" s="5" t="s">
        <v>83</v>
      </c>
      <c r="F55" s="5" t="s">
        <v>66</v>
      </c>
      <c r="G55" s="5" t="s">
        <v>125</v>
      </c>
      <c r="H55" s="5" t="s">
        <v>22</v>
      </c>
      <c r="I55" s="32">
        <v>59.4</v>
      </c>
      <c r="J55" s="6">
        <v>9</v>
      </c>
      <c r="K55" s="32">
        <f t="shared" si="0"/>
        <v>534.6</v>
      </c>
      <c r="L55" s="7">
        <v>0.2</v>
      </c>
      <c r="M55" s="32">
        <f t="shared" si="1"/>
        <v>533.5308</v>
      </c>
      <c r="N55" s="32">
        <v>324.32</v>
      </c>
      <c r="O55" s="32">
        <f t="shared" si="2"/>
        <v>209.21080000000001</v>
      </c>
      <c r="P55" s="8">
        <f t="shared" si="3"/>
        <v>0.39212506569442668</v>
      </c>
    </row>
    <row r="56" spans="1:16" x14ac:dyDescent="0.25">
      <c r="A56" s="1" t="s">
        <v>126</v>
      </c>
      <c r="B56" s="30">
        <v>45061</v>
      </c>
      <c r="C56" s="1" t="s">
        <v>53</v>
      </c>
      <c r="D56" s="1" t="s">
        <v>49</v>
      </c>
      <c r="E56" s="1" t="s">
        <v>19</v>
      </c>
      <c r="F56" s="1" t="s">
        <v>20</v>
      </c>
      <c r="G56" s="1" t="s">
        <v>21</v>
      </c>
      <c r="H56" s="1" t="s">
        <v>38</v>
      </c>
      <c r="I56" s="33">
        <v>5.34</v>
      </c>
      <c r="J56" s="2">
        <v>29</v>
      </c>
      <c r="K56" s="33">
        <f t="shared" si="0"/>
        <v>154.85999999999999</v>
      </c>
      <c r="L56" s="3">
        <v>0</v>
      </c>
      <c r="M56" s="33">
        <f t="shared" si="1"/>
        <v>154.85999999999999</v>
      </c>
      <c r="N56" s="33">
        <v>75.040000000000006</v>
      </c>
      <c r="O56" s="33">
        <f t="shared" si="2"/>
        <v>79.819999999999979</v>
      </c>
      <c r="P56" s="4">
        <f t="shared" si="3"/>
        <v>0.51543329458866061</v>
      </c>
    </row>
    <row r="57" spans="1:16" x14ac:dyDescent="0.25">
      <c r="A57" s="5" t="s">
        <v>127</v>
      </c>
      <c r="B57" s="31">
        <v>45029</v>
      </c>
      <c r="C57" s="5" t="s">
        <v>74</v>
      </c>
      <c r="D57" s="5" t="s">
        <v>49</v>
      </c>
      <c r="E57" s="5" t="s">
        <v>44</v>
      </c>
      <c r="F57" s="5" t="s">
        <v>26</v>
      </c>
      <c r="G57" s="5" t="s">
        <v>120</v>
      </c>
      <c r="H57" s="5" t="s">
        <v>56</v>
      </c>
      <c r="I57" s="32">
        <v>198.68</v>
      </c>
      <c r="J57" s="6">
        <v>18</v>
      </c>
      <c r="K57" s="32">
        <f t="shared" si="0"/>
        <v>3576.2400000000002</v>
      </c>
      <c r="L57" s="7">
        <v>0.2</v>
      </c>
      <c r="M57" s="32">
        <f t="shared" si="1"/>
        <v>3569.08752</v>
      </c>
      <c r="N57" s="32">
        <v>1981.07</v>
      </c>
      <c r="O57" s="32">
        <f t="shared" si="2"/>
        <v>1588.0175200000001</v>
      </c>
      <c r="P57" s="8">
        <f t="shared" si="3"/>
        <v>0.44493655902279472</v>
      </c>
    </row>
    <row r="58" spans="1:16" x14ac:dyDescent="0.25">
      <c r="A58" s="1" t="s">
        <v>128</v>
      </c>
      <c r="B58" s="30">
        <v>45043</v>
      </c>
      <c r="C58" s="1" t="s">
        <v>74</v>
      </c>
      <c r="D58" s="1" t="s">
        <v>49</v>
      </c>
      <c r="E58" s="1" t="s">
        <v>83</v>
      </c>
      <c r="F58" s="1" t="s">
        <v>66</v>
      </c>
      <c r="G58" s="1" t="s">
        <v>77</v>
      </c>
      <c r="H58" s="1" t="s">
        <v>28</v>
      </c>
      <c r="I58" s="33">
        <v>23.91</v>
      </c>
      <c r="J58" s="2">
        <v>25</v>
      </c>
      <c r="K58" s="33">
        <f t="shared" si="0"/>
        <v>597.75</v>
      </c>
      <c r="L58" s="3">
        <v>0.15</v>
      </c>
      <c r="M58" s="33">
        <f t="shared" si="1"/>
        <v>596.85337500000003</v>
      </c>
      <c r="N58" s="33">
        <v>340.27</v>
      </c>
      <c r="O58" s="33">
        <f t="shared" si="2"/>
        <v>256.58337500000005</v>
      </c>
      <c r="P58" s="4">
        <f t="shared" si="3"/>
        <v>0.42989348095753005</v>
      </c>
    </row>
    <row r="59" spans="1:16" x14ac:dyDescent="0.25">
      <c r="A59" s="5" t="s">
        <v>129</v>
      </c>
      <c r="B59" s="31">
        <v>45087</v>
      </c>
      <c r="C59" s="5" t="s">
        <v>48</v>
      </c>
      <c r="D59" s="5" t="s">
        <v>49</v>
      </c>
      <c r="E59" s="5" t="s">
        <v>83</v>
      </c>
      <c r="F59" s="5" t="s">
        <v>66</v>
      </c>
      <c r="G59" s="5" t="s">
        <v>77</v>
      </c>
      <c r="H59" s="5" t="s">
        <v>22</v>
      </c>
      <c r="I59" s="32">
        <v>20.59</v>
      </c>
      <c r="J59" s="6">
        <v>9</v>
      </c>
      <c r="K59" s="32">
        <f t="shared" si="0"/>
        <v>185.31</v>
      </c>
      <c r="L59" s="7">
        <v>0.15</v>
      </c>
      <c r="M59" s="32">
        <f t="shared" si="1"/>
        <v>185.03203500000001</v>
      </c>
      <c r="N59" s="32">
        <v>105.91</v>
      </c>
      <c r="O59" s="32">
        <f t="shared" si="2"/>
        <v>79.122035000000011</v>
      </c>
      <c r="P59" s="8">
        <f t="shared" si="3"/>
        <v>0.42761262934820993</v>
      </c>
    </row>
    <row r="60" spans="1:16" x14ac:dyDescent="0.25">
      <c r="A60" s="1" t="s">
        <v>130</v>
      </c>
      <c r="B60" s="30">
        <v>45118</v>
      </c>
      <c r="C60" s="1" t="s">
        <v>34</v>
      </c>
      <c r="D60" s="1" t="s">
        <v>35</v>
      </c>
      <c r="E60" s="1" t="s">
        <v>83</v>
      </c>
      <c r="F60" s="1" t="s">
        <v>26</v>
      </c>
      <c r="G60" s="1" t="s">
        <v>31</v>
      </c>
      <c r="H60" s="1" t="s">
        <v>51</v>
      </c>
      <c r="I60" s="33">
        <v>278.07</v>
      </c>
      <c r="J60" s="2">
        <v>18</v>
      </c>
      <c r="K60" s="33">
        <f t="shared" si="0"/>
        <v>5005.26</v>
      </c>
      <c r="L60" s="3">
        <v>0</v>
      </c>
      <c r="M60" s="33">
        <f t="shared" si="1"/>
        <v>5005.26</v>
      </c>
      <c r="N60" s="33">
        <v>3387.25</v>
      </c>
      <c r="O60" s="33">
        <f t="shared" si="2"/>
        <v>1618.0100000000002</v>
      </c>
      <c r="P60" s="4">
        <f t="shared" si="3"/>
        <v>0.32326192845126928</v>
      </c>
    </row>
    <row r="61" spans="1:16" x14ac:dyDescent="0.25">
      <c r="A61" s="5" t="s">
        <v>131</v>
      </c>
      <c r="B61" s="31">
        <v>45218</v>
      </c>
      <c r="C61" s="5" t="s">
        <v>30</v>
      </c>
      <c r="D61" s="5" t="s">
        <v>18</v>
      </c>
      <c r="E61" s="5" t="s">
        <v>19</v>
      </c>
      <c r="F61" s="5" t="s">
        <v>45</v>
      </c>
      <c r="G61" s="5" t="s">
        <v>46</v>
      </c>
      <c r="H61" s="5" t="s">
        <v>51</v>
      </c>
      <c r="I61" s="32">
        <v>66.67</v>
      </c>
      <c r="J61" s="6">
        <v>6</v>
      </c>
      <c r="K61" s="32">
        <f t="shared" si="0"/>
        <v>400.02</v>
      </c>
      <c r="L61" s="7">
        <v>0</v>
      </c>
      <c r="M61" s="32">
        <f t="shared" si="1"/>
        <v>400.02</v>
      </c>
      <c r="N61" s="32">
        <v>206.03</v>
      </c>
      <c r="O61" s="32">
        <f t="shared" si="2"/>
        <v>193.98999999999998</v>
      </c>
      <c r="P61" s="8">
        <f t="shared" si="3"/>
        <v>0.48495075246237684</v>
      </c>
    </row>
    <row r="62" spans="1:16" x14ac:dyDescent="0.25">
      <c r="A62" s="1" t="s">
        <v>132</v>
      </c>
      <c r="B62" s="30">
        <v>45084</v>
      </c>
      <c r="C62" s="1" t="s">
        <v>48</v>
      </c>
      <c r="D62" s="1" t="s">
        <v>49</v>
      </c>
      <c r="E62" s="1" t="s">
        <v>83</v>
      </c>
      <c r="F62" s="1" t="s">
        <v>20</v>
      </c>
      <c r="G62" s="1" t="s">
        <v>98</v>
      </c>
      <c r="H62" s="1" t="s">
        <v>56</v>
      </c>
      <c r="I62" s="33">
        <v>12.47</v>
      </c>
      <c r="J62" s="2">
        <v>27</v>
      </c>
      <c r="K62" s="33">
        <f t="shared" si="0"/>
        <v>336.69</v>
      </c>
      <c r="L62" s="3">
        <v>0.15</v>
      </c>
      <c r="M62" s="33">
        <f t="shared" si="1"/>
        <v>336.18496500000003</v>
      </c>
      <c r="N62" s="33">
        <v>172.74</v>
      </c>
      <c r="O62" s="33">
        <f t="shared" si="2"/>
        <v>163.44496500000002</v>
      </c>
      <c r="P62" s="4">
        <f t="shared" si="3"/>
        <v>0.48617571282523003</v>
      </c>
    </row>
    <row r="63" spans="1:16" x14ac:dyDescent="0.25">
      <c r="A63" s="5" t="s">
        <v>133</v>
      </c>
      <c r="B63" s="31">
        <v>44973</v>
      </c>
      <c r="C63" s="5" t="s">
        <v>43</v>
      </c>
      <c r="D63" s="5" t="s">
        <v>25</v>
      </c>
      <c r="E63" s="5" t="s">
        <v>19</v>
      </c>
      <c r="F63" s="5" t="s">
        <v>40</v>
      </c>
      <c r="G63" s="5" t="s">
        <v>63</v>
      </c>
      <c r="H63" s="5" t="s">
        <v>32</v>
      </c>
      <c r="I63" s="32">
        <v>25.3</v>
      </c>
      <c r="J63" s="6">
        <v>3</v>
      </c>
      <c r="K63" s="32">
        <f t="shared" si="0"/>
        <v>75.900000000000006</v>
      </c>
      <c r="L63" s="7">
        <v>0</v>
      </c>
      <c r="M63" s="32">
        <f t="shared" si="1"/>
        <v>75.900000000000006</v>
      </c>
      <c r="N63" s="32">
        <v>48.47</v>
      </c>
      <c r="O63" s="32">
        <f t="shared" si="2"/>
        <v>27.430000000000007</v>
      </c>
      <c r="P63" s="8">
        <f t="shared" si="3"/>
        <v>0.36139657444005274</v>
      </c>
    </row>
    <row r="64" spans="1:16" x14ac:dyDescent="0.25">
      <c r="A64" s="1" t="s">
        <v>134</v>
      </c>
      <c r="B64" s="30">
        <v>45023</v>
      </c>
      <c r="C64" s="1" t="s">
        <v>74</v>
      </c>
      <c r="D64" s="1" t="s">
        <v>49</v>
      </c>
      <c r="E64" s="1" t="s">
        <v>19</v>
      </c>
      <c r="F64" s="1" t="s">
        <v>40</v>
      </c>
      <c r="G64" s="1" t="s">
        <v>79</v>
      </c>
      <c r="H64" s="1" t="s">
        <v>22</v>
      </c>
      <c r="I64" s="33">
        <v>38.520000000000003</v>
      </c>
      <c r="J64" s="2">
        <v>22</v>
      </c>
      <c r="K64" s="33">
        <f t="shared" si="0"/>
        <v>847.44</v>
      </c>
      <c r="L64" s="3">
        <v>0</v>
      </c>
      <c r="M64" s="33">
        <f t="shared" si="1"/>
        <v>847.44</v>
      </c>
      <c r="N64" s="33">
        <v>500.89</v>
      </c>
      <c r="O64" s="33">
        <f t="shared" si="2"/>
        <v>346.55000000000007</v>
      </c>
      <c r="P64" s="4">
        <f t="shared" si="3"/>
        <v>0.40893750590012279</v>
      </c>
    </row>
    <row r="65" spans="1:16" x14ac:dyDescent="0.25">
      <c r="A65" s="5" t="s">
        <v>135</v>
      </c>
      <c r="B65" s="31">
        <v>45031</v>
      </c>
      <c r="C65" s="5" t="s">
        <v>74</v>
      </c>
      <c r="D65" s="5" t="s">
        <v>49</v>
      </c>
      <c r="E65" s="5" t="s">
        <v>36</v>
      </c>
      <c r="F65" s="5" t="s">
        <v>20</v>
      </c>
      <c r="G65" s="5" t="s">
        <v>21</v>
      </c>
      <c r="H65" s="5" t="s">
        <v>64</v>
      </c>
      <c r="I65" s="32">
        <v>6.44</v>
      </c>
      <c r="J65" s="6">
        <v>6</v>
      </c>
      <c r="K65" s="32">
        <f t="shared" si="0"/>
        <v>38.64</v>
      </c>
      <c r="L65" s="7">
        <v>0.05</v>
      </c>
      <c r="M65" s="32">
        <f t="shared" si="1"/>
        <v>38.62068</v>
      </c>
      <c r="N65" s="32">
        <v>18.45</v>
      </c>
      <c r="O65" s="32">
        <f t="shared" si="2"/>
        <v>20.170680000000001</v>
      </c>
      <c r="P65" s="8">
        <f t="shared" si="3"/>
        <v>0.52227666628345226</v>
      </c>
    </row>
    <row r="66" spans="1:16" x14ac:dyDescent="0.25">
      <c r="A66" s="1" t="s">
        <v>136</v>
      </c>
      <c r="B66" s="30">
        <v>44936</v>
      </c>
      <c r="C66" s="1" t="s">
        <v>24</v>
      </c>
      <c r="D66" s="1" t="s">
        <v>25</v>
      </c>
      <c r="E66" s="1" t="s">
        <v>83</v>
      </c>
      <c r="F66" s="1" t="s">
        <v>66</v>
      </c>
      <c r="G66" s="1" t="s">
        <v>67</v>
      </c>
      <c r="H66" s="1" t="s">
        <v>64</v>
      </c>
      <c r="I66" s="33">
        <v>71.760000000000005</v>
      </c>
      <c r="J66" s="2">
        <v>27</v>
      </c>
      <c r="K66" s="33">
        <f t="shared" ref="K66:K129" si="4">I66*J66</f>
        <v>1937.5200000000002</v>
      </c>
      <c r="L66" s="3">
        <v>0.05</v>
      </c>
      <c r="M66" s="33">
        <f t="shared" ref="M66:M129" si="5">K66*(1-L66/100)</f>
        <v>1936.5512400000002</v>
      </c>
      <c r="N66" s="33">
        <v>921.28</v>
      </c>
      <c r="O66" s="33">
        <f t="shared" ref="O66:O129" si="6">M66-N66</f>
        <v>1015.2712400000003</v>
      </c>
      <c r="P66" s="4">
        <f t="shared" ref="P66:P129" si="7">IF(M66=0,0,O66/M66)</f>
        <v>0.52426768733472817</v>
      </c>
    </row>
    <row r="67" spans="1:16" x14ac:dyDescent="0.25">
      <c r="A67" s="5" t="s">
        <v>137</v>
      </c>
      <c r="B67" s="31">
        <v>45074</v>
      </c>
      <c r="C67" s="5" t="s">
        <v>53</v>
      </c>
      <c r="D67" s="5" t="s">
        <v>49</v>
      </c>
      <c r="E67" s="5" t="s">
        <v>19</v>
      </c>
      <c r="F67" s="5" t="s">
        <v>40</v>
      </c>
      <c r="G67" s="5" t="s">
        <v>63</v>
      </c>
      <c r="H67" s="5" t="s">
        <v>32</v>
      </c>
      <c r="I67" s="32">
        <v>29.16</v>
      </c>
      <c r="J67" s="6">
        <v>22</v>
      </c>
      <c r="K67" s="32">
        <f t="shared" si="4"/>
        <v>641.52</v>
      </c>
      <c r="L67" s="7">
        <v>0.1</v>
      </c>
      <c r="M67" s="32">
        <f t="shared" si="5"/>
        <v>640.87847999999997</v>
      </c>
      <c r="N67" s="32">
        <v>299.74</v>
      </c>
      <c r="O67" s="32">
        <f t="shared" si="6"/>
        <v>341.13847999999996</v>
      </c>
      <c r="P67" s="8">
        <f t="shared" si="7"/>
        <v>0.53229822914322222</v>
      </c>
    </row>
    <row r="68" spans="1:16" x14ac:dyDescent="0.25">
      <c r="A68" s="1" t="s">
        <v>138</v>
      </c>
      <c r="B68" s="30">
        <v>45241</v>
      </c>
      <c r="C68" s="1" t="s">
        <v>17</v>
      </c>
      <c r="D68" s="1" t="s">
        <v>18</v>
      </c>
      <c r="E68" s="1" t="s">
        <v>19</v>
      </c>
      <c r="F68" s="1" t="s">
        <v>66</v>
      </c>
      <c r="G68" s="1" t="s">
        <v>116</v>
      </c>
      <c r="H68" s="1" t="s">
        <v>64</v>
      </c>
      <c r="I68" s="33">
        <v>78.17</v>
      </c>
      <c r="J68" s="2">
        <v>12</v>
      </c>
      <c r="K68" s="33">
        <f t="shared" si="4"/>
        <v>938.04</v>
      </c>
      <c r="L68" s="3">
        <v>0.2</v>
      </c>
      <c r="M68" s="33">
        <f t="shared" si="5"/>
        <v>936.16391999999996</v>
      </c>
      <c r="N68" s="33">
        <v>588.01</v>
      </c>
      <c r="O68" s="33">
        <f t="shared" si="6"/>
        <v>348.15391999999997</v>
      </c>
      <c r="P68" s="4">
        <f t="shared" si="7"/>
        <v>0.37189418707783567</v>
      </c>
    </row>
    <row r="69" spans="1:16" x14ac:dyDescent="0.25">
      <c r="A69" s="5" t="s">
        <v>139</v>
      </c>
      <c r="B69" s="31">
        <v>45113</v>
      </c>
      <c r="C69" s="5" t="s">
        <v>34</v>
      </c>
      <c r="D69" s="5" t="s">
        <v>35</v>
      </c>
      <c r="E69" s="5" t="s">
        <v>36</v>
      </c>
      <c r="F69" s="5" t="s">
        <v>40</v>
      </c>
      <c r="G69" s="5" t="s">
        <v>96</v>
      </c>
      <c r="H69" s="5" t="s">
        <v>68</v>
      </c>
      <c r="I69" s="32">
        <v>13.59</v>
      </c>
      <c r="J69" s="6">
        <v>27</v>
      </c>
      <c r="K69" s="32">
        <f t="shared" si="4"/>
        <v>366.93</v>
      </c>
      <c r="L69" s="7">
        <v>0.05</v>
      </c>
      <c r="M69" s="32">
        <f t="shared" si="5"/>
        <v>366.74653500000005</v>
      </c>
      <c r="N69" s="32">
        <v>194.67</v>
      </c>
      <c r="O69" s="32">
        <f t="shared" si="6"/>
        <v>172.07653500000006</v>
      </c>
      <c r="P69" s="8">
        <f t="shared" si="7"/>
        <v>0.46919743904328925</v>
      </c>
    </row>
    <row r="70" spans="1:16" x14ac:dyDescent="0.25">
      <c r="A70" s="1" t="s">
        <v>140</v>
      </c>
      <c r="B70" s="30">
        <v>45043</v>
      </c>
      <c r="C70" s="1" t="s">
        <v>74</v>
      </c>
      <c r="D70" s="1" t="s">
        <v>49</v>
      </c>
      <c r="E70" s="1" t="s">
        <v>19</v>
      </c>
      <c r="F70" s="1" t="s">
        <v>20</v>
      </c>
      <c r="G70" s="1" t="s">
        <v>113</v>
      </c>
      <c r="H70" s="1" t="s">
        <v>22</v>
      </c>
      <c r="I70" s="33">
        <v>25.5</v>
      </c>
      <c r="J70" s="2">
        <v>19</v>
      </c>
      <c r="K70" s="33">
        <f t="shared" si="4"/>
        <v>484.5</v>
      </c>
      <c r="L70" s="3">
        <v>0.15</v>
      </c>
      <c r="M70" s="33">
        <f t="shared" si="5"/>
        <v>483.77325000000002</v>
      </c>
      <c r="N70" s="33">
        <v>258.82</v>
      </c>
      <c r="O70" s="33">
        <f t="shared" si="6"/>
        <v>224.95325000000003</v>
      </c>
      <c r="P70" s="4">
        <f t="shared" si="7"/>
        <v>0.46499728953595515</v>
      </c>
    </row>
    <row r="71" spans="1:16" x14ac:dyDescent="0.25">
      <c r="A71" s="5" t="s">
        <v>141</v>
      </c>
      <c r="B71" s="31">
        <v>45166</v>
      </c>
      <c r="C71" s="5" t="s">
        <v>62</v>
      </c>
      <c r="D71" s="5" t="s">
        <v>35</v>
      </c>
      <c r="E71" s="5" t="s">
        <v>36</v>
      </c>
      <c r="F71" s="5" t="s">
        <v>26</v>
      </c>
      <c r="G71" s="5" t="s">
        <v>31</v>
      </c>
      <c r="H71" s="5" t="s">
        <v>22</v>
      </c>
      <c r="I71" s="32">
        <v>215.48</v>
      </c>
      <c r="J71" s="6">
        <v>9</v>
      </c>
      <c r="K71" s="32">
        <f t="shared" si="4"/>
        <v>1939.32</v>
      </c>
      <c r="L71" s="7">
        <v>0.1</v>
      </c>
      <c r="M71" s="32">
        <f t="shared" si="5"/>
        <v>1937.38068</v>
      </c>
      <c r="N71" s="32">
        <v>1008.29</v>
      </c>
      <c r="O71" s="32">
        <f t="shared" si="6"/>
        <v>929.09068000000002</v>
      </c>
      <c r="P71" s="8">
        <f t="shared" si="7"/>
        <v>0.47956020703169189</v>
      </c>
    </row>
    <row r="72" spans="1:16" x14ac:dyDescent="0.25">
      <c r="A72" s="1" t="s">
        <v>142</v>
      </c>
      <c r="B72" s="30">
        <v>45222</v>
      </c>
      <c r="C72" s="1" t="s">
        <v>30</v>
      </c>
      <c r="D72" s="1" t="s">
        <v>18</v>
      </c>
      <c r="E72" s="1" t="s">
        <v>36</v>
      </c>
      <c r="F72" s="1" t="s">
        <v>40</v>
      </c>
      <c r="G72" s="1" t="s">
        <v>63</v>
      </c>
      <c r="H72" s="1" t="s">
        <v>22</v>
      </c>
      <c r="I72" s="33">
        <v>23.57</v>
      </c>
      <c r="J72" s="2">
        <v>24</v>
      </c>
      <c r="K72" s="33">
        <f t="shared" si="4"/>
        <v>565.68000000000006</v>
      </c>
      <c r="L72" s="3">
        <v>0.15</v>
      </c>
      <c r="M72" s="33">
        <f t="shared" si="5"/>
        <v>564.83148000000006</v>
      </c>
      <c r="N72" s="33">
        <v>323.64999999999998</v>
      </c>
      <c r="O72" s="33">
        <f t="shared" si="6"/>
        <v>241.18148000000008</v>
      </c>
      <c r="P72" s="4">
        <f t="shared" si="7"/>
        <v>0.42699723464421646</v>
      </c>
    </row>
    <row r="73" spans="1:16" x14ac:dyDescent="0.25">
      <c r="A73" s="5" t="s">
        <v>143</v>
      </c>
      <c r="B73" s="31">
        <v>45039</v>
      </c>
      <c r="C73" s="5" t="s">
        <v>74</v>
      </c>
      <c r="D73" s="5" t="s">
        <v>49</v>
      </c>
      <c r="E73" s="5" t="s">
        <v>83</v>
      </c>
      <c r="F73" s="5" t="s">
        <v>66</v>
      </c>
      <c r="G73" s="5" t="s">
        <v>116</v>
      </c>
      <c r="H73" s="5" t="s">
        <v>28</v>
      </c>
      <c r="I73" s="32">
        <v>66.260000000000005</v>
      </c>
      <c r="J73" s="6">
        <v>8</v>
      </c>
      <c r="K73" s="32">
        <f t="shared" si="4"/>
        <v>530.08000000000004</v>
      </c>
      <c r="L73" s="7">
        <v>0.15</v>
      </c>
      <c r="M73" s="32">
        <f t="shared" si="5"/>
        <v>529.28488000000004</v>
      </c>
      <c r="N73" s="32">
        <v>330.2</v>
      </c>
      <c r="O73" s="32">
        <f t="shared" si="6"/>
        <v>199.08488000000006</v>
      </c>
      <c r="P73" s="8">
        <f t="shared" si="7"/>
        <v>0.37613936751792348</v>
      </c>
    </row>
    <row r="74" spans="1:16" x14ac:dyDescent="0.25">
      <c r="A74" s="1" t="s">
        <v>144</v>
      </c>
      <c r="B74" s="30">
        <v>45068</v>
      </c>
      <c r="C74" s="1" t="s">
        <v>53</v>
      </c>
      <c r="D74" s="1" t="s">
        <v>49</v>
      </c>
      <c r="E74" s="1" t="s">
        <v>36</v>
      </c>
      <c r="F74" s="1" t="s">
        <v>66</v>
      </c>
      <c r="G74" s="1" t="s">
        <v>77</v>
      </c>
      <c r="H74" s="1" t="s">
        <v>32</v>
      </c>
      <c r="I74" s="33">
        <v>20.03</v>
      </c>
      <c r="J74" s="2">
        <v>24</v>
      </c>
      <c r="K74" s="33">
        <f t="shared" si="4"/>
        <v>480.72</v>
      </c>
      <c r="L74" s="3">
        <v>0.1</v>
      </c>
      <c r="M74" s="33">
        <f t="shared" si="5"/>
        <v>480.23928000000001</v>
      </c>
      <c r="N74" s="33">
        <v>258.60000000000002</v>
      </c>
      <c r="O74" s="33">
        <f t="shared" si="6"/>
        <v>221.63927999999999</v>
      </c>
      <c r="P74" s="4">
        <f t="shared" si="7"/>
        <v>0.461518433061119</v>
      </c>
    </row>
    <row r="75" spans="1:16" x14ac:dyDescent="0.25">
      <c r="A75" s="5" t="s">
        <v>145</v>
      </c>
      <c r="B75" s="31">
        <v>45147</v>
      </c>
      <c r="C75" s="5" t="s">
        <v>62</v>
      </c>
      <c r="D75" s="5" t="s">
        <v>35</v>
      </c>
      <c r="E75" s="5" t="s">
        <v>36</v>
      </c>
      <c r="F75" s="5" t="s">
        <v>20</v>
      </c>
      <c r="G75" s="5" t="s">
        <v>21</v>
      </c>
      <c r="H75" s="5" t="s">
        <v>64</v>
      </c>
      <c r="I75" s="32">
        <v>6.3</v>
      </c>
      <c r="J75" s="6">
        <v>11</v>
      </c>
      <c r="K75" s="32">
        <f t="shared" si="4"/>
        <v>69.3</v>
      </c>
      <c r="L75" s="7">
        <v>0</v>
      </c>
      <c r="M75" s="32">
        <f t="shared" si="5"/>
        <v>69.3</v>
      </c>
      <c r="N75" s="32">
        <v>44.08</v>
      </c>
      <c r="O75" s="32">
        <f t="shared" si="6"/>
        <v>25.22</v>
      </c>
      <c r="P75" s="8">
        <f t="shared" si="7"/>
        <v>0.36392496392496393</v>
      </c>
    </row>
    <row r="76" spans="1:16" x14ac:dyDescent="0.25">
      <c r="A76" s="1" t="s">
        <v>146</v>
      </c>
      <c r="B76" s="30">
        <v>45266</v>
      </c>
      <c r="C76" s="1" t="s">
        <v>82</v>
      </c>
      <c r="D76" s="1" t="s">
        <v>18</v>
      </c>
      <c r="E76" s="1" t="s">
        <v>44</v>
      </c>
      <c r="F76" s="1" t="s">
        <v>26</v>
      </c>
      <c r="G76" s="1" t="s">
        <v>31</v>
      </c>
      <c r="H76" s="1" t="s">
        <v>38</v>
      </c>
      <c r="I76" s="33">
        <v>252.46</v>
      </c>
      <c r="J76" s="2">
        <v>25</v>
      </c>
      <c r="K76" s="33">
        <f t="shared" si="4"/>
        <v>6311.5</v>
      </c>
      <c r="L76" s="3">
        <v>0.05</v>
      </c>
      <c r="M76" s="33">
        <f t="shared" si="5"/>
        <v>6308.3442500000001</v>
      </c>
      <c r="N76" s="33">
        <v>4387.2700000000004</v>
      </c>
      <c r="O76" s="33">
        <f t="shared" si="6"/>
        <v>1921.0742499999997</v>
      </c>
      <c r="P76" s="4">
        <f t="shared" si="7"/>
        <v>0.30452907670661755</v>
      </c>
    </row>
    <row r="77" spans="1:16" x14ac:dyDescent="0.25">
      <c r="A77" s="5" t="s">
        <v>147</v>
      </c>
      <c r="B77" s="31">
        <v>45026</v>
      </c>
      <c r="C77" s="5" t="s">
        <v>74</v>
      </c>
      <c r="D77" s="5" t="s">
        <v>49</v>
      </c>
      <c r="E77" s="5" t="s">
        <v>44</v>
      </c>
      <c r="F77" s="5" t="s">
        <v>20</v>
      </c>
      <c r="G77" s="5" t="s">
        <v>21</v>
      </c>
      <c r="H77" s="5" t="s">
        <v>38</v>
      </c>
      <c r="I77" s="32">
        <v>4.54</v>
      </c>
      <c r="J77" s="6">
        <v>18</v>
      </c>
      <c r="K77" s="32">
        <f t="shared" si="4"/>
        <v>81.72</v>
      </c>
      <c r="L77" s="7">
        <v>0</v>
      </c>
      <c r="M77" s="32">
        <f t="shared" si="5"/>
        <v>81.72</v>
      </c>
      <c r="N77" s="32">
        <v>42.33</v>
      </c>
      <c r="O77" s="32">
        <f t="shared" si="6"/>
        <v>39.39</v>
      </c>
      <c r="P77" s="8">
        <f t="shared" si="7"/>
        <v>0.48201174743024966</v>
      </c>
    </row>
    <row r="78" spans="1:16" x14ac:dyDescent="0.25">
      <c r="A78" s="1" t="s">
        <v>148</v>
      </c>
      <c r="B78" s="30">
        <v>44944</v>
      </c>
      <c r="C78" s="1" t="s">
        <v>24</v>
      </c>
      <c r="D78" s="1" t="s">
        <v>25</v>
      </c>
      <c r="E78" s="1" t="s">
        <v>36</v>
      </c>
      <c r="F78" s="1" t="s">
        <v>26</v>
      </c>
      <c r="G78" s="1" t="s">
        <v>31</v>
      </c>
      <c r="H78" s="1" t="s">
        <v>64</v>
      </c>
      <c r="I78" s="33">
        <v>267.27</v>
      </c>
      <c r="J78" s="2">
        <v>19</v>
      </c>
      <c r="K78" s="33">
        <f t="shared" si="4"/>
        <v>5078.1299999999992</v>
      </c>
      <c r="L78" s="3">
        <v>0.05</v>
      </c>
      <c r="M78" s="33">
        <f t="shared" si="5"/>
        <v>5075.5909349999993</v>
      </c>
      <c r="N78" s="33">
        <v>2881.09</v>
      </c>
      <c r="O78" s="33">
        <f t="shared" si="6"/>
        <v>2194.5009349999991</v>
      </c>
      <c r="P78" s="4">
        <f t="shared" si="7"/>
        <v>0.43236363274811457</v>
      </c>
    </row>
    <row r="79" spans="1:16" x14ac:dyDescent="0.25">
      <c r="A79" s="5" t="s">
        <v>149</v>
      </c>
      <c r="B79" s="31">
        <v>45149</v>
      </c>
      <c r="C79" s="5" t="s">
        <v>62</v>
      </c>
      <c r="D79" s="5" t="s">
        <v>35</v>
      </c>
      <c r="E79" s="5" t="s">
        <v>44</v>
      </c>
      <c r="F79" s="5" t="s">
        <v>45</v>
      </c>
      <c r="G79" s="5" t="s">
        <v>105</v>
      </c>
      <c r="H79" s="5" t="s">
        <v>68</v>
      </c>
      <c r="I79" s="32">
        <v>28.71</v>
      </c>
      <c r="J79" s="6">
        <v>3</v>
      </c>
      <c r="K79" s="32">
        <f t="shared" si="4"/>
        <v>86.13</v>
      </c>
      <c r="L79" s="7">
        <v>0.15</v>
      </c>
      <c r="M79" s="32">
        <f t="shared" si="5"/>
        <v>86.000805</v>
      </c>
      <c r="N79" s="32">
        <v>49.35</v>
      </c>
      <c r="O79" s="32">
        <f t="shared" si="6"/>
        <v>36.650804999999998</v>
      </c>
      <c r="P79" s="8">
        <f t="shared" si="7"/>
        <v>0.42616816203057634</v>
      </c>
    </row>
    <row r="80" spans="1:16" x14ac:dyDescent="0.25">
      <c r="A80" s="1" t="s">
        <v>150</v>
      </c>
      <c r="B80" s="30">
        <v>45220</v>
      </c>
      <c r="C80" s="1" t="s">
        <v>30</v>
      </c>
      <c r="D80" s="1" t="s">
        <v>18</v>
      </c>
      <c r="E80" s="1" t="s">
        <v>19</v>
      </c>
      <c r="F80" s="1" t="s">
        <v>26</v>
      </c>
      <c r="G80" s="1" t="s">
        <v>27</v>
      </c>
      <c r="H80" s="1" t="s">
        <v>38</v>
      </c>
      <c r="I80" s="33">
        <v>141.38999999999999</v>
      </c>
      <c r="J80" s="2">
        <v>8</v>
      </c>
      <c r="K80" s="33">
        <f t="shared" si="4"/>
        <v>1131.1199999999999</v>
      </c>
      <c r="L80" s="3">
        <v>0</v>
      </c>
      <c r="M80" s="33">
        <f t="shared" si="5"/>
        <v>1131.1199999999999</v>
      </c>
      <c r="N80" s="33">
        <v>666.81</v>
      </c>
      <c r="O80" s="33">
        <f t="shared" si="6"/>
        <v>464.30999999999995</v>
      </c>
      <c r="P80" s="4">
        <f t="shared" si="7"/>
        <v>0.41048695098663274</v>
      </c>
    </row>
    <row r="81" spans="1:16" x14ac:dyDescent="0.25">
      <c r="A81" s="5" t="s">
        <v>151</v>
      </c>
      <c r="B81" s="31">
        <v>45127</v>
      </c>
      <c r="C81" s="5" t="s">
        <v>34</v>
      </c>
      <c r="D81" s="5" t="s">
        <v>35</v>
      </c>
      <c r="E81" s="5" t="s">
        <v>44</v>
      </c>
      <c r="F81" s="5" t="s">
        <v>40</v>
      </c>
      <c r="G81" s="5" t="s">
        <v>59</v>
      </c>
      <c r="H81" s="5" t="s">
        <v>68</v>
      </c>
      <c r="I81" s="32">
        <v>13.54</v>
      </c>
      <c r="J81" s="6">
        <v>10</v>
      </c>
      <c r="K81" s="32">
        <f t="shared" si="4"/>
        <v>135.39999999999998</v>
      </c>
      <c r="L81" s="7">
        <v>0.15</v>
      </c>
      <c r="M81" s="32">
        <f t="shared" si="5"/>
        <v>135.19689999999997</v>
      </c>
      <c r="N81" s="32">
        <v>71.28</v>
      </c>
      <c r="O81" s="32">
        <f t="shared" si="6"/>
        <v>63.91689999999997</v>
      </c>
      <c r="P81" s="8">
        <f t="shared" si="7"/>
        <v>0.47276897621173253</v>
      </c>
    </row>
    <row r="82" spans="1:16" x14ac:dyDescent="0.25">
      <c r="A82" s="1" t="s">
        <v>152</v>
      </c>
      <c r="B82" s="30">
        <v>45201</v>
      </c>
      <c r="C82" s="1" t="s">
        <v>30</v>
      </c>
      <c r="D82" s="1" t="s">
        <v>18</v>
      </c>
      <c r="E82" s="1" t="s">
        <v>19</v>
      </c>
      <c r="F82" s="1" t="s">
        <v>26</v>
      </c>
      <c r="G82" s="1" t="s">
        <v>27</v>
      </c>
      <c r="H82" s="1" t="s">
        <v>38</v>
      </c>
      <c r="I82" s="33">
        <v>184.53</v>
      </c>
      <c r="J82" s="2">
        <v>6</v>
      </c>
      <c r="K82" s="33">
        <f t="shared" si="4"/>
        <v>1107.18</v>
      </c>
      <c r="L82" s="3">
        <v>0.05</v>
      </c>
      <c r="M82" s="33">
        <f t="shared" si="5"/>
        <v>1106.6264100000001</v>
      </c>
      <c r="N82" s="33">
        <v>546.35</v>
      </c>
      <c r="O82" s="33">
        <f t="shared" si="6"/>
        <v>560.27641000000006</v>
      </c>
      <c r="P82" s="4">
        <f t="shared" si="7"/>
        <v>0.50629228160206297</v>
      </c>
    </row>
    <row r="83" spans="1:16" x14ac:dyDescent="0.25">
      <c r="A83" s="5" t="s">
        <v>153</v>
      </c>
      <c r="B83" s="31">
        <v>44963</v>
      </c>
      <c r="C83" s="5" t="s">
        <v>43</v>
      </c>
      <c r="D83" s="5" t="s">
        <v>25</v>
      </c>
      <c r="E83" s="5" t="s">
        <v>19</v>
      </c>
      <c r="F83" s="5" t="s">
        <v>66</v>
      </c>
      <c r="G83" s="5" t="s">
        <v>116</v>
      </c>
      <c r="H83" s="5" t="s">
        <v>68</v>
      </c>
      <c r="I83" s="32">
        <v>73.19</v>
      </c>
      <c r="J83" s="6">
        <v>8</v>
      </c>
      <c r="K83" s="32">
        <f t="shared" si="4"/>
        <v>585.52</v>
      </c>
      <c r="L83" s="7">
        <v>0.05</v>
      </c>
      <c r="M83" s="32">
        <f t="shared" si="5"/>
        <v>585.22724000000005</v>
      </c>
      <c r="N83" s="32">
        <v>366.99</v>
      </c>
      <c r="O83" s="32">
        <f t="shared" si="6"/>
        <v>218.23724000000004</v>
      </c>
      <c r="P83" s="8">
        <f t="shared" si="7"/>
        <v>0.37291025619381629</v>
      </c>
    </row>
    <row r="84" spans="1:16" x14ac:dyDescent="0.25">
      <c r="A84" s="1" t="s">
        <v>154</v>
      </c>
      <c r="B84" s="30">
        <v>45288</v>
      </c>
      <c r="C84" s="1" t="s">
        <v>82</v>
      </c>
      <c r="D84" s="1" t="s">
        <v>18</v>
      </c>
      <c r="E84" s="1" t="s">
        <v>83</v>
      </c>
      <c r="F84" s="1" t="s">
        <v>45</v>
      </c>
      <c r="G84" s="1" t="s">
        <v>155</v>
      </c>
      <c r="H84" s="1" t="s">
        <v>38</v>
      </c>
      <c r="I84" s="33">
        <v>155.27000000000001</v>
      </c>
      <c r="J84" s="2">
        <v>21</v>
      </c>
      <c r="K84" s="33">
        <f t="shared" si="4"/>
        <v>3260.67</v>
      </c>
      <c r="L84" s="3">
        <v>0.05</v>
      </c>
      <c r="M84" s="33">
        <f t="shared" si="5"/>
        <v>3259.0396650000002</v>
      </c>
      <c r="N84" s="33">
        <v>1813.86</v>
      </c>
      <c r="O84" s="33">
        <f t="shared" si="6"/>
        <v>1445.1796650000003</v>
      </c>
      <c r="P84" s="4">
        <f t="shared" si="7"/>
        <v>0.44343727402900457</v>
      </c>
    </row>
    <row r="85" spans="1:16" x14ac:dyDescent="0.25">
      <c r="A85" s="5" t="s">
        <v>156</v>
      </c>
      <c r="B85" s="31">
        <v>45177</v>
      </c>
      <c r="C85" s="5" t="s">
        <v>71</v>
      </c>
      <c r="D85" s="5" t="s">
        <v>35</v>
      </c>
      <c r="E85" s="5" t="s">
        <v>44</v>
      </c>
      <c r="F85" s="5" t="s">
        <v>20</v>
      </c>
      <c r="G85" s="5" t="s">
        <v>21</v>
      </c>
      <c r="H85" s="5" t="s">
        <v>64</v>
      </c>
      <c r="I85" s="32">
        <v>4.6500000000000004</v>
      </c>
      <c r="J85" s="6">
        <v>26</v>
      </c>
      <c r="K85" s="32">
        <f t="shared" si="4"/>
        <v>120.9</v>
      </c>
      <c r="L85" s="7">
        <v>0.05</v>
      </c>
      <c r="M85" s="32">
        <f t="shared" si="5"/>
        <v>120.83955000000002</v>
      </c>
      <c r="N85" s="32">
        <v>72.38</v>
      </c>
      <c r="O85" s="32">
        <f t="shared" si="6"/>
        <v>48.459550000000021</v>
      </c>
      <c r="P85" s="8">
        <f t="shared" si="7"/>
        <v>0.40102391973488827</v>
      </c>
    </row>
    <row r="86" spans="1:16" x14ac:dyDescent="0.25">
      <c r="A86" s="1" t="s">
        <v>157</v>
      </c>
      <c r="B86" s="30">
        <v>45209</v>
      </c>
      <c r="C86" s="1" t="s">
        <v>30</v>
      </c>
      <c r="D86" s="1" t="s">
        <v>18</v>
      </c>
      <c r="E86" s="1" t="s">
        <v>83</v>
      </c>
      <c r="F86" s="1" t="s">
        <v>45</v>
      </c>
      <c r="G86" s="1" t="s">
        <v>46</v>
      </c>
      <c r="H86" s="1" t="s">
        <v>38</v>
      </c>
      <c r="I86" s="33">
        <v>62.49</v>
      </c>
      <c r="J86" s="2">
        <v>9</v>
      </c>
      <c r="K86" s="33">
        <f t="shared" si="4"/>
        <v>562.41</v>
      </c>
      <c r="L86" s="3">
        <v>0.2</v>
      </c>
      <c r="M86" s="33">
        <f t="shared" si="5"/>
        <v>561.28517999999997</v>
      </c>
      <c r="N86" s="33">
        <v>314.64999999999998</v>
      </c>
      <c r="O86" s="33">
        <f t="shared" si="6"/>
        <v>246.63517999999999</v>
      </c>
      <c r="P86" s="4">
        <f t="shared" si="7"/>
        <v>0.43941153051644799</v>
      </c>
    </row>
    <row r="87" spans="1:16" x14ac:dyDescent="0.25">
      <c r="A87" s="5" t="s">
        <v>158</v>
      </c>
      <c r="B87" s="31">
        <v>45201</v>
      </c>
      <c r="C87" s="5" t="s">
        <v>30</v>
      </c>
      <c r="D87" s="5" t="s">
        <v>18</v>
      </c>
      <c r="E87" s="5" t="s">
        <v>83</v>
      </c>
      <c r="F87" s="5" t="s">
        <v>20</v>
      </c>
      <c r="G87" s="5" t="s">
        <v>37</v>
      </c>
      <c r="H87" s="5" t="s">
        <v>38</v>
      </c>
      <c r="I87" s="32">
        <v>5.48</v>
      </c>
      <c r="J87" s="6">
        <v>8</v>
      </c>
      <c r="K87" s="32">
        <f t="shared" si="4"/>
        <v>43.84</v>
      </c>
      <c r="L87" s="7">
        <v>0</v>
      </c>
      <c r="M87" s="32">
        <f t="shared" si="5"/>
        <v>43.84</v>
      </c>
      <c r="N87" s="32">
        <v>30.67</v>
      </c>
      <c r="O87" s="32">
        <f t="shared" si="6"/>
        <v>13.170000000000002</v>
      </c>
      <c r="P87" s="8">
        <f t="shared" si="7"/>
        <v>0.30041058394160586</v>
      </c>
    </row>
    <row r="88" spans="1:16" x14ac:dyDescent="0.25">
      <c r="A88" s="1" t="s">
        <v>159</v>
      </c>
      <c r="B88" s="30">
        <v>45257</v>
      </c>
      <c r="C88" s="1" t="s">
        <v>17</v>
      </c>
      <c r="D88" s="1" t="s">
        <v>18</v>
      </c>
      <c r="E88" s="1" t="s">
        <v>36</v>
      </c>
      <c r="F88" s="1" t="s">
        <v>40</v>
      </c>
      <c r="G88" s="1" t="s">
        <v>63</v>
      </c>
      <c r="H88" s="1" t="s">
        <v>51</v>
      </c>
      <c r="I88" s="33">
        <v>28.38</v>
      </c>
      <c r="J88" s="2">
        <v>21</v>
      </c>
      <c r="K88" s="33">
        <f t="shared" si="4"/>
        <v>595.98</v>
      </c>
      <c r="L88" s="3">
        <v>0.2</v>
      </c>
      <c r="M88" s="33">
        <f t="shared" si="5"/>
        <v>594.78804000000002</v>
      </c>
      <c r="N88" s="33">
        <v>404.7</v>
      </c>
      <c r="O88" s="33">
        <f t="shared" si="6"/>
        <v>190.08804000000003</v>
      </c>
      <c r="P88" s="4">
        <f t="shared" si="7"/>
        <v>0.31958954655510563</v>
      </c>
    </row>
    <row r="89" spans="1:16" x14ac:dyDescent="0.25">
      <c r="A89" s="5" t="s">
        <v>160</v>
      </c>
      <c r="B89" s="31">
        <v>45004</v>
      </c>
      <c r="C89" s="5" t="s">
        <v>58</v>
      </c>
      <c r="D89" s="5" t="s">
        <v>25</v>
      </c>
      <c r="E89" s="5" t="s">
        <v>83</v>
      </c>
      <c r="F89" s="5" t="s">
        <v>66</v>
      </c>
      <c r="G89" s="5" t="s">
        <v>72</v>
      </c>
      <c r="H89" s="5" t="s">
        <v>68</v>
      </c>
      <c r="I89" s="32">
        <v>16.11</v>
      </c>
      <c r="J89" s="6">
        <v>11</v>
      </c>
      <c r="K89" s="32">
        <f t="shared" si="4"/>
        <v>177.20999999999998</v>
      </c>
      <c r="L89" s="7">
        <v>0.1</v>
      </c>
      <c r="M89" s="32">
        <f t="shared" si="5"/>
        <v>177.03278999999998</v>
      </c>
      <c r="N89" s="32">
        <v>109.43</v>
      </c>
      <c r="O89" s="32">
        <f t="shared" si="6"/>
        <v>67.60278999999997</v>
      </c>
      <c r="P89" s="8">
        <f t="shared" si="7"/>
        <v>0.38186592438609807</v>
      </c>
    </row>
    <row r="90" spans="1:16" x14ac:dyDescent="0.25">
      <c r="A90" s="1" t="s">
        <v>161</v>
      </c>
      <c r="B90" s="30">
        <v>44996</v>
      </c>
      <c r="C90" s="1" t="s">
        <v>58</v>
      </c>
      <c r="D90" s="1" t="s">
        <v>25</v>
      </c>
      <c r="E90" s="1" t="s">
        <v>83</v>
      </c>
      <c r="F90" s="1" t="s">
        <v>66</v>
      </c>
      <c r="G90" s="1" t="s">
        <v>125</v>
      </c>
      <c r="H90" s="1" t="s">
        <v>56</v>
      </c>
      <c r="I90" s="33">
        <v>58.81</v>
      </c>
      <c r="J90" s="2">
        <v>18</v>
      </c>
      <c r="K90" s="33">
        <f t="shared" si="4"/>
        <v>1058.58</v>
      </c>
      <c r="L90" s="3">
        <v>0</v>
      </c>
      <c r="M90" s="33">
        <f t="shared" si="5"/>
        <v>1058.58</v>
      </c>
      <c r="N90" s="33">
        <v>596.67999999999995</v>
      </c>
      <c r="O90" s="33">
        <f t="shared" si="6"/>
        <v>461.9</v>
      </c>
      <c r="P90" s="4">
        <f t="shared" si="7"/>
        <v>0.43633924691567949</v>
      </c>
    </row>
    <row r="91" spans="1:16" x14ac:dyDescent="0.25">
      <c r="A91" s="5" t="s">
        <v>162</v>
      </c>
      <c r="B91" s="31">
        <v>45086</v>
      </c>
      <c r="C91" s="5" t="s">
        <v>48</v>
      </c>
      <c r="D91" s="5" t="s">
        <v>49</v>
      </c>
      <c r="E91" s="5" t="s">
        <v>36</v>
      </c>
      <c r="F91" s="5" t="s">
        <v>45</v>
      </c>
      <c r="G91" s="5" t="s">
        <v>46</v>
      </c>
      <c r="H91" s="5" t="s">
        <v>28</v>
      </c>
      <c r="I91" s="32">
        <v>61.44</v>
      </c>
      <c r="J91" s="6">
        <v>18</v>
      </c>
      <c r="K91" s="32">
        <f t="shared" si="4"/>
        <v>1105.92</v>
      </c>
      <c r="L91" s="7">
        <v>0.2</v>
      </c>
      <c r="M91" s="32">
        <f t="shared" si="5"/>
        <v>1103.7081600000001</v>
      </c>
      <c r="N91" s="32">
        <v>611.92999999999995</v>
      </c>
      <c r="O91" s="32">
        <f t="shared" si="6"/>
        <v>491.77816000000018</v>
      </c>
      <c r="P91" s="8">
        <f t="shared" si="7"/>
        <v>0.44556901708509622</v>
      </c>
    </row>
    <row r="92" spans="1:16" x14ac:dyDescent="0.25">
      <c r="A92" s="1" t="s">
        <v>163</v>
      </c>
      <c r="B92" s="30">
        <v>45033</v>
      </c>
      <c r="C92" s="1" t="s">
        <v>74</v>
      </c>
      <c r="D92" s="1" t="s">
        <v>49</v>
      </c>
      <c r="E92" s="1" t="s">
        <v>36</v>
      </c>
      <c r="F92" s="1" t="s">
        <v>40</v>
      </c>
      <c r="G92" s="1" t="s">
        <v>59</v>
      </c>
      <c r="H92" s="1" t="s">
        <v>68</v>
      </c>
      <c r="I92" s="33">
        <v>12.8</v>
      </c>
      <c r="J92" s="2">
        <v>7</v>
      </c>
      <c r="K92" s="33">
        <f t="shared" si="4"/>
        <v>89.600000000000009</v>
      </c>
      <c r="L92" s="3">
        <v>0.05</v>
      </c>
      <c r="M92" s="33">
        <f t="shared" si="5"/>
        <v>89.555200000000013</v>
      </c>
      <c r="N92" s="33">
        <v>52.62</v>
      </c>
      <c r="O92" s="33">
        <f t="shared" si="6"/>
        <v>36.935200000000016</v>
      </c>
      <c r="P92" s="4">
        <f t="shared" si="7"/>
        <v>0.41242942900021451</v>
      </c>
    </row>
    <row r="93" spans="1:16" x14ac:dyDescent="0.25">
      <c r="A93" s="5" t="s">
        <v>164</v>
      </c>
      <c r="B93" s="31">
        <v>45061</v>
      </c>
      <c r="C93" s="5" t="s">
        <v>53</v>
      </c>
      <c r="D93" s="5" t="s">
        <v>49</v>
      </c>
      <c r="E93" s="5" t="s">
        <v>83</v>
      </c>
      <c r="F93" s="5" t="s">
        <v>45</v>
      </c>
      <c r="G93" s="5" t="s">
        <v>85</v>
      </c>
      <c r="H93" s="5" t="s">
        <v>22</v>
      </c>
      <c r="I93" s="32">
        <v>250.98</v>
      </c>
      <c r="J93" s="6">
        <v>10</v>
      </c>
      <c r="K93" s="32">
        <f t="shared" si="4"/>
        <v>2509.7999999999997</v>
      </c>
      <c r="L93" s="7">
        <v>0</v>
      </c>
      <c r="M93" s="32">
        <f t="shared" si="5"/>
        <v>2509.7999999999997</v>
      </c>
      <c r="N93" s="32">
        <v>1475.91</v>
      </c>
      <c r="O93" s="32">
        <f t="shared" si="6"/>
        <v>1033.8899999999996</v>
      </c>
      <c r="P93" s="8">
        <f t="shared" si="7"/>
        <v>0.41194119053311012</v>
      </c>
    </row>
    <row r="94" spans="1:16" x14ac:dyDescent="0.25">
      <c r="A94" s="1" t="s">
        <v>165</v>
      </c>
      <c r="B94" s="30">
        <v>44965</v>
      </c>
      <c r="C94" s="1" t="s">
        <v>43</v>
      </c>
      <c r="D94" s="1" t="s">
        <v>25</v>
      </c>
      <c r="E94" s="1" t="s">
        <v>19</v>
      </c>
      <c r="F94" s="1" t="s">
        <v>66</v>
      </c>
      <c r="G94" s="1" t="s">
        <v>72</v>
      </c>
      <c r="H94" s="1" t="s">
        <v>51</v>
      </c>
      <c r="I94" s="33">
        <v>17.239999999999998</v>
      </c>
      <c r="J94" s="2">
        <v>23</v>
      </c>
      <c r="K94" s="33">
        <f t="shared" si="4"/>
        <v>396.52</v>
      </c>
      <c r="L94" s="3">
        <v>0.05</v>
      </c>
      <c r="M94" s="33">
        <f t="shared" si="5"/>
        <v>396.32173999999998</v>
      </c>
      <c r="N94" s="33">
        <v>228.85</v>
      </c>
      <c r="O94" s="33">
        <f t="shared" si="6"/>
        <v>167.47173999999998</v>
      </c>
      <c r="P94" s="4">
        <f t="shared" si="7"/>
        <v>0.42256511086169535</v>
      </c>
    </row>
    <row r="95" spans="1:16" x14ac:dyDescent="0.25">
      <c r="A95" s="5" t="s">
        <v>166</v>
      </c>
      <c r="B95" s="31">
        <v>45060</v>
      </c>
      <c r="C95" s="5" t="s">
        <v>53</v>
      </c>
      <c r="D95" s="5" t="s">
        <v>49</v>
      </c>
      <c r="E95" s="5" t="s">
        <v>83</v>
      </c>
      <c r="F95" s="5" t="s">
        <v>66</v>
      </c>
      <c r="G95" s="5" t="s">
        <v>67</v>
      </c>
      <c r="H95" s="5" t="s">
        <v>68</v>
      </c>
      <c r="I95" s="32">
        <v>70.540000000000006</v>
      </c>
      <c r="J95" s="6">
        <v>13</v>
      </c>
      <c r="K95" s="32">
        <f t="shared" si="4"/>
        <v>917.0200000000001</v>
      </c>
      <c r="L95" s="7">
        <v>0.05</v>
      </c>
      <c r="M95" s="32">
        <f t="shared" si="5"/>
        <v>916.56149000000016</v>
      </c>
      <c r="N95" s="32">
        <v>623.98</v>
      </c>
      <c r="O95" s="32">
        <f t="shared" si="6"/>
        <v>292.58149000000014</v>
      </c>
      <c r="P95" s="8">
        <f t="shared" si="7"/>
        <v>0.3192164335859235</v>
      </c>
    </row>
    <row r="96" spans="1:16" x14ac:dyDescent="0.25">
      <c r="A96" s="1" t="s">
        <v>167</v>
      </c>
      <c r="B96" s="30">
        <v>45193</v>
      </c>
      <c r="C96" s="1" t="s">
        <v>71</v>
      </c>
      <c r="D96" s="1" t="s">
        <v>35</v>
      </c>
      <c r="E96" s="1" t="s">
        <v>44</v>
      </c>
      <c r="F96" s="1" t="s">
        <v>45</v>
      </c>
      <c r="G96" s="1" t="s">
        <v>105</v>
      </c>
      <c r="H96" s="1" t="s">
        <v>56</v>
      </c>
      <c r="I96" s="33">
        <v>32.1</v>
      </c>
      <c r="J96" s="2">
        <v>26</v>
      </c>
      <c r="K96" s="33">
        <f t="shared" si="4"/>
        <v>834.6</v>
      </c>
      <c r="L96" s="3">
        <v>0.05</v>
      </c>
      <c r="M96" s="33">
        <f t="shared" si="5"/>
        <v>834.18270000000007</v>
      </c>
      <c r="N96" s="33">
        <v>546.75</v>
      </c>
      <c r="O96" s="33">
        <f t="shared" si="6"/>
        <v>287.43270000000007</v>
      </c>
      <c r="P96" s="4">
        <f t="shared" si="7"/>
        <v>0.34456804246839456</v>
      </c>
    </row>
    <row r="97" spans="1:16" x14ac:dyDescent="0.25">
      <c r="A97" s="5" t="s">
        <v>168</v>
      </c>
      <c r="B97" s="31">
        <v>45070</v>
      </c>
      <c r="C97" s="5" t="s">
        <v>53</v>
      </c>
      <c r="D97" s="5" t="s">
        <v>49</v>
      </c>
      <c r="E97" s="5" t="s">
        <v>36</v>
      </c>
      <c r="F97" s="5" t="s">
        <v>40</v>
      </c>
      <c r="G97" s="5" t="s">
        <v>96</v>
      </c>
      <c r="H97" s="5" t="s">
        <v>68</v>
      </c>
      <c r="I97" s="32">
        <v>15.99</v>
      </c>
      <c r="J97" s="6">
        <v>15</v>
      </c>
      <c r="K97" s="32">
        <f t="shared" si="4"/>
        <v>239.85</v>
      </c>
      <c r="L97" s="7">
        <v>0.2</v>
      </c>
      <c r="M97" s="32">
        <f t="shared" si="5"/>
        <v>239.37029999999999</v>
      </c>
      <c r="N97" s="32">
        <v>128.63999999999999</v>
      </c>
      <c r="O97" s="32">
        <f t="shared" si="6"/>
        <v>110.7303</v>
      </c>
      <c r="P97" s="8">
        <f t="shared" si="7"/>
        <v>0.46258997043492867</v>
      </c>
    </row>
    <row r="98" spans="1:16" x14ac:dyDescent="0.25">
      <c r="A98" s="1" t="s">
        <v>169</v>
      </c>
      <c r="B98" s="30">
        <v>45194</v>
      </c>
      <c r="C98" s="1" t="s">
        <v>71</v>
      </c>
      <c r="D98" s="1" t="s">
        <v>35</v>
      </c>
      <c r="E98" s="1" t="s">
        <v>83</v>
      </c>
      <c r="F98" s="1" t="s">
        <v>66</v>
      </c>
      <c r="G98" s="1" t="s">
        <v>125</v>
      </c>
      <c r="H98" s="1" t="s">
        <v>22</v>
      </c>
      <c r="I98" s="33">
        <v>62.57</v>
      </c>
      <c r="J98" s="2">
        <v>8</v>
      </c>
      <c r="K98" s="33">
        <f t="shared" si="4"/>
        <v>500.56</v>
      </c>
      <c r="L98" s="3">
        <v>0.15</v>
      </c>
      <c r="M98" s="33">
        <f t="shared" si="5"/>
        <v>499.80916000000002</v>
      </c>
      <c r="N98" s="33">
        <v>254.47</v>
      </c>
      <c r="O98" s="33">
        <f t="shared" si="6"/>
        <v>245.33916000000002</v>
      </c>
      <c r="P98" s="4">
        <f t="shared" si="7"/>
        <v>0.49086567361030359</v>
      </c>
    </row>
    <row r="99" spans="1:16" x14ac:dyDescent="0.25">
      <c r="A99" s="5" t="s">
        <v>170</v>
      </c>
      <c r="B99" s="31">
        <v>45109</v>
      </c>
      <c r="C99" s="5" t="s">
        <v>34</v>
      </c>
      <c r="D99" s="5" t="s">
        <v>35</v>
      </c>
      <c r="E99" s="5" t="s">
        <v>36</v>
      </c>
      <c r="F99" s="5" t="s">
        <v>66</v>
      </c>
      <c r="G99" s="5" t="s">
        <v>116</v>
      </c>
      <c r="H99" s="5" t="s">
        <v>56</v>
      </c>
      <c r="I99" s="32">
        <v>97.59</v>
      </c>
      <c r="J99" s="6">
        <v>26</v>
      </c>
      <c r="K99" s="32">
        <f t="shared" si="4"/>
        <v>2537.34</v>
      </c>
      <c r="L99" s="7">
        <v>0</v>
      </c>
      <c r="M99" s="32">
        <f t="shared" si="5"/>
        <v>2537.34</v>
      </c>
      <c r="N99" s="32">
        <v>1456.07</v>
      </c>
      <c r="O99" s="32">
        <f t="shared" si="6"/>
        <v>1081.2700000000002</v>
      </c>
      <c r="P99" s="8">
        <f t="shared" si="7"/>
        <v>0.42614312626608974</v>
      </c>
    </row>
    <row r="100" spans="1:16" x14ac:dyDescent="0.25">
      <c r="A100" s="1" t="s">
        <v>171</v>
      </c>
      <c r="B100" s="30">
        <v>44931</v>
      </c>
      <c r="C100" s="1" t="s">
        <v>24</v>
      </c>
      <c r="D100" s="1" t="s">
        <v>25</v>
      </c>
      <c r="E100" s="1" t="s">
        <v>36</v>
      </c>
      <c r="F100" s="1" t="s">
        <v>45</v>
      </c>
      <c r="G100" s="1" t="s">
        <v>46</v>
      </c>
      <c r="H100" s="1" t="s">
        <v>64</v>
      </c>
      <c r="I100" s="33">
        <v>58.15</v>
      </c>
      <c r="J100" s="2">
        <v>15</v>
      </c>
      <c r="K100" s="33">
        <f t="shared" si="4"/>
        <v>872.25</v>
      </c>
      <c r="L100" s="3">
        <v>0</v>
      </c>
      <c r="M100" s="33">
        <f t="shared" si="5"/>
        <v>872.25</v>
      </c>
      <c r="N100" s="33">
        <v>550.04</v>
      </c>
      <c r="O100" s="33">
        <f t="shared" si="6"/>
        <v>322.21000000000004</v>
      </c>
      <c r="P100" s="4">
        <f t="shared" si="7"/>
        <v>0.3694009744912583</v>
      </c>
    </row>
    <row r="101" spans="1:16" x14ac:dyDescent="0.25">
      <c r="A101" s="5" t="s">
        <v>172</v>
      </c>
      <c r="B101" s="31">
        <v>45135</v>
      </c>
      <c r="C101" s="5" t="s">
        <v>34</v>
      </c>
      <c r="D101" s="5" t="s">
        <v>35</v>
      </c>
      <c r="E101" s="5" t="s">
        <v>44</v>
      </c>
      <c r="F101" s="5" t="s">
        <v>45</v>
      </c>
      <c r="G101" s="5" t="s">
        <v>46</v>
      </c>
      <c r="H101" s="5" t="s">
        <v>38</v>
      </c>
      <c r="I101" s="32">
        <v>53.46</v>
      </c>
      <c r="J101" s="6">
        <v>23</v>
      </c>
      <c r="K101" s="32">
        <f t="shared" si="4"/>
        <v>1229.58</v>
      </c>
      <c r="L101" s="7">
        <v>0.15</v>
      </c>
      <c r="M101" s="32">
        <f t="shared" si="5"/>
        <v>1227.7356299999999</v>
      </c>
      <c r="N101" s="32">
        <v>753.12</v>
      </c>
      <c r="O101" s="32">
        <f t="shared" si="6"/>
        <v>474.6156299999999</v>
      </c>
      <c r="P101" s="8">
        <f t="shared" si="7"/>
        <v>0.38657803716260963</v>
      </c>
    </row>
    <row r="102" spans="1:16" x14ac:dyDescent="0.25">
      <c r="A102" s="1" t="s">
        <v>173</v>
      </c>
      <c r="B102" s="30">
        <v>45105</v>
      </c>
      <c r="C102" s="1" t="s">
        <v>48</v>
      </c>
      <c r="D102" s="1" t="s">
        <v>49</v>
      </c>
      <c r="E102" s="1" t="s">
        <v>83</v>
      </c>
      <c r="F102" s="1" t="s">
        <v>20</v>
      </c>
      <c r="G102" s="1" t="s">
        <v>113</v>
      </c>
      <c r="H102" s="1" t="s">
        <v>28</v>
      </c>
      <c r="I102" s="33">
        <v>24.17</v>
      </c>
      <c r="J102" s="2">
        <v>8</v>
      </c>
      <c r="K102" s="33">
        <f t="shared" si="4"/>
        <v>193.36</v>
      </c>
      <c r="L102" s="3">
        <v>0.05</v>
      </c>
      <c r="M102" s="33">
        <f t="shared" si="5"/>
        <v>193.26332000000002</v>
      </c>
      <c r="N102" s="33">
        <v>135.25</v>
      </c>
      <c r="O102" s="33">
        <f t="shared" si="6"/>
        <v>58.013320000000022</v>
      </c>
      <c r="P102" s="4">
        <f t="shared" si="7"/>
        <v>0.30017760224754503</v>
      </c>
    </row>
    <row r="103" spans="1:16" x14ac:dyDescent="0.25">
      <c r="A103" s="5" t="s">
        <v>174</v>
      </c>
      <c r="B103" s="31">
        <v>45263</v>
      </c>
      <c r="C103" s="5" t="s">
        <v>82</v>
      </c>
      <c r="D103" s="5" t="s">
        <v>18</v>
      </c>
      <c r="E103" s="5" t="s">
        <v>83</v>
      </c>
      <c r="F103" s="5" t="s">
        <v>45</v>
      </c>
      <c r="G103" s="5" t="s">
        <v>85</v>
      </c>
      <c r="H103" s="5" t="s">
        <v>68</v>
      </c>
      <c r="I103" s="32">
        <v>196.64</v>
      </c>
      <c r="J103" s="6">
        <v>10</v>
      </c>
      <c r="K103" s="32">
        <f t="shared" si="4"/>
        <v>1966.3999999999999</v>
      </c>
      <c r="L103" s="7">
        <v>0</v>
      </c>
      <c r="M103" s="32">
        <f t="shared" si="5"/>
        <v>1966.3999999999999</v>
      </c>
      <c r="N103" s="32">
        <v>907.47</v>
      </c>
      <c r="O103" s="32">
        <f t="shared" si="6"/>
        <v>1058.9299999999998</v>
      </c>
      <c r="P103" s="8">
        <f t="shared" si="7"/>
        <v>0.53851200162733925</v>
      </c>
    </row>
    <row r="104" spans="1:16" x14ac:dyDescent="0.25">
      <c r="A104" s="1" t="s">
        <v>175</v>
      </c>
      <c r="B104" s="30">
        <v>44936</v>
      </c>
      <c r="C104" s="1" t="s">
        <v>24</v>
      </c>
      <c r="D104" s="1" t="s">
        <v>25</v>
      </c>
      <c r="E104" s="1" t="s">
        <v>36</v>
      </c>
      <c r="F104" s="1" t="s">
        <v>20</v>
      </c>
      <c r="G104" s="1" t="s">
        <v>113</v>
      </c>
      <c r="H104" s="1" t="s">
        <v>51</v>
      </c>
      <c r="I104" s="33">
        <v>20.440000000000001</v>
      </c>
      <c r="J104" s="2">
        <v>14</v>
      </c>
      <c r="K104" s="33">
        <f t="shared" si="4"/>
        <v>286.16000000000003</v>
      </c>
      <c r="L104" s="3">
        <v>0</v>
      </c>
      <c r="M104" s="33">
        <f t="shared" si="5"/>
        <v>286.16000000000003</v>
      </c>
      <c r="N104" s="33">
        <v>140.94999999999999</v>
      </c>
      <c r="O104" s="33">
        <f t="shared" si="6"/>
        <v>145.21000000000004</v>
      </c>
      <c r="P104" s="4">
        <f t="shared" si="7"/>
        <v>0.50744338831422986</v>
      </c>
    </row>
    <row r="105" spans="1:16" x14ac:dyDescent="0.25">
      <c r="A105" s="5" t="s">
        <v>176</v>
      </c>
      <c r="B105" s="31">
        <v>44977</v>
      </c>
      <c r="C105" s="5" t="s">
        <v>43</v>
      </c>
      <c r="D105" s="5" t="s">
        <v>25</v>
      </c>
      <c r="E105" s="5" t="s">
        <v>83</v>
      </c>
      <c r="F105" s="5" t="s">
        <v>40</v>
      </c>
      <c r="G105" s="5" t="s">
        <v>79</v>
      </c>
      <c r="H105" s="5" t="s">
        <v>68</v>
      </c>
      <c r="I105" s="32">
        <v>54.26</v>
      </c>
      <c r="J105" s="6">
        <v>5</v>
      </c>
      <c r="K105" s="32">
        <f t="shared" si="4"/>
        <v>271.3</v>
      </c>
      <c r="L105" s="7">
        <v>0.05</v>
      </c>
      <c r="M105" s="32">
        <f t="shared" si="5"/>
        <v>271.16435000000001</v>
      </c>
      <c r="N105" s="32">
        <v>153.35</v>
      </c>
      <c r="O105" s="32">
        <f t="shared" si="6"/>
        <v>117.81435000000002</v>
      </c>
      <c r="P105" s="8">
        <f t="shared" si="7"/>
        <v>0.43447580775275219</v>
      </c>
    </row>
    <row r="106" spans="1:16" x14ac:dyDescent="0.25">
      <c r="A106" s="1" t="s">
        <v>177</v>
      </c>
      <c r="B106" s="30">
        <v>45061</v>
      </c>
      <c r="C106" s="1" t="s">
        <v>53</v>
      </c>
      <c r="D106" s="1" t="s">
        <v>49</v>
      </c>
      <c r="E106" s="1" t="s">
        <v>36</v>
      </c>
      <c r="F106" s="1" t="s">
        <v>45</v>
      </c>
      <c r="G106" s="1" t="s">
        <v>46</v>
      </c>
      <c r="H106" s="1" t="s">
        <v>38</v>
      </c>
      <c r="I106" s="33">
        <v>61.94</v>
      </c>
      <c r="J106" s="2">
        <v>6</v>
      </c>
      <c r="K106" s="33">
        <f t="shared" si="4"/>
        <v>371.64</v>
      </c>
      <c r="L106" s="3">
        <v>0</v>
      </c>
      <c r="M106" s="33">
        <f t="shared" si="5"/>
        <v>371.64</v>
      </c>
      <c r="N106" s="33">
        <v>208.28</v>
      </c>
      <c r="O106" s="33">
        <f t="shared" si="6"/>
        <v>163.35999999999999</v>
      </c>
      <c r="P106" s="4">
        <f t="shared" si="7"/>
        <v>0.43956517059519962</v>
      </c>
    </row>
    <row r="107" spans="1:16" x14ac:dyDescent="0.25">
      <c r="A107" s="5" t="s">
        <v>178</v>
      </c>
      <c r="B107" s="31">
        <v>45096</v>
      </c>
      <c r="C107" s="5" t="s">
        <v>48</v>
      </c>
      <c r="D107" s="5" t="s">
        <v>49</v>
      </c>
      <c r="E107" s="5" t="s">
        <v>36</v>
      </c>
      <c r="F107" s="5" t="s">
        <v>66</v>
      </c>
      <c r="G107" s="5" t="s">
        <v>125</v>
      </c>
      <c r="H107" s="5" t="s">
        <v>68</v>
      </c>
      <c r="I107" s="32">
        <v>59.52</v>
      </c>
      <c r="J107" s="6">
        <v>7</v>
      </c>
      <c r="K107" s="32">
        <f t="shared" si="4"/>
        <v>416.64000000000004</v>
      </c>
      <c r="L107" s="7">
        <v>0.15</v>
      </c>
      <c r="M107" s="32">
        <f t="shared" si="5"/>
        <v>416.01504000000006</v>
      </c>
      <c r="N107" s="32">
        <v>276.37</v>
      </c>
      <c r="O107" s="32">
        <f t="shared" si="6"/>
        <v>139.64504000000005</v>
      </c>
      <c r="P107" s="8">
        <f t="shared" si="7"/>
        <v>0.33567305643565204</v>
      </c>
    </row>
    <row r="108" spans="1:16" x14ac:dyDescent="0.25">
      <c r="A108" s="1" t="s">
        <v>179</v>
      </c>
      <c r="B108" s="30">
        <v>44965</v>
      </c>
      <c r="C108" s="1" t="s">
        <v>43</v>
      </c>
      <c r="D108" s="1" t="s">
        <v>25</v>
      </c>
      <c r="E108" s="1" t="s">
        <v>83</v>
      </c>
      <c r="F108" s="1" t="s">
        <v>40</v>
      </c>
      <c r="G108" s="1" t="s">
        <v>41</v>
      </c>
      <c r="H108" s="1" t="s">
        <v>38</v>
      </c>
      <c r="I108" s="33">
        <v>76.8</v>
      </c>
      <c r="J108" s="2">
        <v>10</v>
      </c>
      <c r="K108" s="33">
        <f t="shared" si="4"/>
        <v>768</v>
      </c>
      <c r="L108" s="3">
        <v>0</v>
      </c>
      <c r="M108" s="33">
        <f t="shared" si="5"/>
        <v>768</v>
      </c>
      <c r="N108" s="33">
        <v>533.36</v>
      </c>
      <c r="O108" s="33">
        <f t="shared" si="6"/>
        <v>234.64</v>
      </c>
      <c r="P108" s="4">
        <f t="shared" si="7"/>
        <v>0.3055208333333333</v>
      </c>
    </row>
    <row r="109" spans="1:16" x14ac:dyDescent="0.25">
      <c r="A109" s="5" t="s">
        <v>180</v>
      </c>
      <c r="B109" s="31">
        <v>45243</v>
      </c>
      <c r="C109" s="5" t="s">
        <v>17</v>
      </c>
      <c r="D109" s="5" t="s">
        <v>18</v>
      </c>
      <c r="E109" s="5" t="s">
        <v>36</v>
      </c>
      <c r="F109" s="5" t="s">
        <v>45</v>
      </c>
      <c r="G109" s="5" t="s">
        <v>50</v>
      </c>
      <c r="H109" s="5" t="s">
        <v>28</v>
      </c>
      <c r="I109" s="32">
        <v>54.21</v>
      </c>
      <c r="J109" s="6">
        <v>24</v>
      </c>
      <c r="K109" s="32">
        <f t="shared" si="4"/>
        <v>1301.04</v>
      </c>
      <c r="L109" s="7">
        <v>0.2</v>
      </c>
      <c r="M109" s="32">
        <f t="shared" si="5"/>
        <v>1298.4379199999998</v>
      </c>
      <c r="N109" s="32">
        <v>856.39</v>
      </c>
      <c r="O109" s="32">
        <f t="shared" si="6"/>
        <v>442.04791999999986</v>
      </c>
      <c r="P109" s="8">
        <f t="shared" si="7"/>
        <v>0.34044594138162565</v>
      </c>
    </row>
    <row r="110" spans="1:16" x14ac:dyDescent="0.25">
      <c r="A110" s="1" t="s">
        <v>181</v>
      </c>
      <c r="B110" s="30">
        <v>45071</v>
      </c>
      <c r="C110" s="1" t="s">
        <v>53</v>
      </c>
      <c r="D110" s="1" t="s">
        <v>49</v>
      </c>
      <c r="E110" s="1" t="s">
        <v>44</v>
      </c>
      <c r="F110" s="1" t="s">
        <v>40</v>
      </c>
      <c r="G110" s="1" t="s">
        <v>41</v>
      </c>
      <c r="H110" s="1" t="s">
        <v>22</v>
      </c>
      <c r="I110" s="33">
        <v>67.010000000000005</v>
      </c>
      <c r="J110" s="2">
        <v>20</v>
      </c>
      <c r="K110" s="33">
        <f t="shared" si="4"/>
        <v>1340.2</v>
      </c>
      <c r="L110" s="3">
        <v>0.05</v>
      </c>
      <c r="M110" s="33">
        <f t="shared" si="5"/>
        <v>1339.5299000000002</v>
      </c>
      <c r="N110" s="33">
        <v>830.14</v>
      </c>
      <c r="O110" s="33">
        <f t="shared" si="6"/>
        <v>509.38990000000024</v>
      </c>
      <c r="P110" s="4">
        <f t="shared" si="7"/>
        <v>0.38027512487776505</v>
      </c>
    </row>
    <row r="111" spans="1:16" x14ac:dyDescent="0.25">
      <c r="A111" s="5" t="s">
        <v>182</v>
      </c>
      <c r="B111" s="31">
        <v>45285</v>
      </c>
      <c r="C111" s="5" t="s">
        <v>82</v>
      </c>
      <c r="D111" s="5" t="s">
        <v>18</v>
      </c>
      <c r="E111" s="5" t="s">
        <v>44</v>
      </c>
      <c r="F111" s="5" t="s">
        <v>45</v>
      </c>
      <c r="G111" s="5" t="s">
        <v>85</v>
      </c>
      <c r="H111" s="5" t="s">
        <v>38</v>
      </c>
      <c r="I111" s="32">
        <v>258.86</v>
      </c>
      <c r="J111" s="6">
        <v>2</v>
      </c>
      <c r="K111" s="32">
        <f t="shared" si="4"/>
        <v>517.72</v>
      </c>
      <c r="L111" s="7">
        <v>0.1</v>
      </c>
      <c r="M111" s="32">
        <f t="shared" si="5"/>
        <v>517.20227999999997</v>
      </c>
      <c r="N111" s="32">
        <v>327.76</v>
      </c>
      <c r="O111" s="32">
        <f t="shared" si="6"/>
        <v>189.44227999999998</v>
      </c>
      <c r="P111" s="8">
        <f t="shared" si="7"/>
        <v>0.36628276271326565</v>
      </c>
    </row>
    <row r="112" spans="1:16" x14ac:dyDescent="0.25">
      <c r="A112" s="1" t="s">
        <v>183</v>
      </c>
      <c r="B112" s="30">
        <v>44967</v>
      </c>
      <c r="C112" s="1" t="s">
        <v>43</v>
      </c>
      <c r="D112" s="1" t="s">
        <v>25</v>
      </c>
      <c r="E112" s="1" t="s">
        <v>36</v>
      </c>
      <c r="F112" s="1" t="s">
        <v>66</v>
      </c>
      <c r="G112" s="1" t="s">
        <v>67</v>
      </c>
      <c r="H112" s="1" t="s">
        <v>22</v>
      </c>
      <c r="I112" s="33">
        <v>57.96</v>
      </c>
      <c r="J112" s="2">
        <v>18</v>
      </c>
      <c r="K112" s="33">
        <f t="shared" si="4"/>
        <v>1043.28</v>
      </c>
      <c r="L112" s="3">
        <v>0.1</v>
      </c>
      <c r="M112" s="33">
        <f t="shared" si="5"/>
        <v>1042.2367199999999</v>
      </c>
      <c r="N112" s="33">
        <v>607.98</v>
      </c>
      <c r="O112" s="33">
        <f t="shared" si="6"/>
        <v>434.25671999999986</v>
      </c>
      <c r="P112" s="4">
        <f t="shared" si="7"/>
        <v>0.41665843437179984</v>
      </c>
    </row>
    <row r="113" spans="1:16" x14ac:dyDescent="0.25">
      <c r="A113" s="5" t="s">
        <v>184</v>
      </c>
      <c r="B113" s="31">
        <v>45073</v>
      </c>
      <c r="C113" s="5" t="s">
        <v>53</v>
      </c>
      <c r="D113" s="5" t="s">
        <v>49</v>
      </c>
      <c r="E113" s="5" t="s">
        <v>44</v>
      </c>
      <c r="F113" s="5" t="s">
        <v>20</v>
      </c>
      <c r="G113" s="5" t="s">
        <v>113</v>
      </c>
      <c r="H113" s="5" t="s">
        <v>38</v>
      </c>
      <c r="I113" s="32">
        <v>25.47</v>
      </c>
      <c r="J113" s="6">
        <v>11</v>
      </c>
      <c r="K113" s="32">
        <f t="shared" si="4"/>
        <v>280.16999999999996</v>
      </c>
      <c r="L113" s="7">
        <v>0</v>
      </c>
      <c r="M113" s="32">
        <f t="shared" si="5"/>
        <v>280.16999999999996</v>
      </c>
      <c r="N113" s="32">
        <v>158.85</v>
      </c>
      <c r="O113" s="32">
        <f t="shared" si="6"/>
        <v>121.31999999999996</v>
      </c>
      <c r="P113" s="8">
        <f t="shared" si="7"/>
        <v>0.43302280758111139</v>
      </c>
    </row>
    <row r="114" spans="1:16" x14ac:dyDescent="0.25">
      <c r="A114" s="1" t="s">
        <v>185</v>
      </c>
      <c r="B114" s="30">
        <v>44962</v>
      </c>
      <c r="C114" s="1" t="s">
        <v>43</v>
      </c>
      <c r="D114" s="1" t="s">
        <v>25</v>
      </c>
      <c r="E114" s="1" t="s">
        <v>44</v>
      </c>
      <c r="F114" s="1" t="s">
        <v>66</v>
      </c>
      <c r="G114" s="1" t="s">
        <v>77</v>
      </c>
      <c r="H114" s="1" t="s">
        <v>32</v>
      </c>
      <c r="I114" s="33">
        <v>17.010000000000002</v>
      </c>
      <c r="J114" s="2">
        <v>13</v>
      </c>
      <c r="K114" s="33">
        <f t="shared" si="4"/>
        <v>221.13000000000002</v>
      </c>
      <c r="L114" s="3">
        <v>0</v>
      </c>
      <c r="M114" s="33">
        <f t="shared" si="5"/>
        <v>221.13000000000002</v>
      </c>
      <c r="N114" s="33">
        <v>114.15</v>
      </c>
      <c r="O114" s="33">
        <f t="shared" si="6"/>
        <v>106.98000000000002</v>
      </c>
      <c r="P114" s="4">
        <f t="shared" si="7"/>
        <v>0.48378781712115049</v>
      </c>
    </row>
    <row r="115" spans="1:16" x14ac:dyDescent="0.25">
      <c r="A115" s="5" t="s">
        <v>186</v>
      </c>
      <c r="B115" s="31">
        <v>44972</v>
      </c>
      <c r="C115" s="5" t="s">
        <v>43</v>
      </c>
      <c r="D115" s="5" t="s">
        <v>25</v>
      </c>
      <c r="E115" s="5" t="s">
        <v>36</v>
      </c>
      <c r="F115" s="5" t="s">
        <v>20</v>
      </c>
      <c r="G115" s="5" t="s">
        <v>37</v>
      </c>
      <c r="H115" s="5" t="s">
        <v>56</v>
      </c>
      <c r="I115" s="32">
        <v>7.87</v>
      </c>
      <c r="J115" s="6">
        <v>12</v>
      </c>
      <c r="K115" s="32">
        <f t="shared" si="4"/>
        <v>94.44</v>
      </c>
      <c r="L115" s="7">
        <v>0</v>
      </c>
      <c r="M115" s="32">
        <f t="shared" si="5"/>
        <v>94.44</v>
      </c>
      <c r="N115" s="32">
        <v>58.41</v>
      </c>
      <c r="O115" s="32">
        <f t="shared" si="6"/>
        <v>36.03</v>
      </c>
      <c r="P115" s="8">
        <f t="shared" si="7"/>
        <v>0.38151207115628971</v>
      </c>
    </row>
    <row r="116" spans="1:16" x14ac:dyDescent="0.25">
      <c r="A116" s="1" t="s">
        <v>187</v>
      </c>
      <c r="B116" s="30">
        <v>45139</v>
      </c>
      <c r="C116" s="1" t="s">
        <v>62</v>
      </c>
      <c r="D116" s="1" t="s">
        <v>35</v>
      </c>
      <c r="E116" s="1" t="s">
        <v>36</v>
      </c>
      <c r="F116" s="1" t="s">
        <v>40</v>
      </c>
      <c r="G116" s="1" t="s">
        <v>79</v>
      </c>
      <c r="H116" s="1" t="s">
        <v>64</v>
      </c>
      <c r="I116" s="33">
        <v>48.71</v>
      </c>
      <c r="J116" s="2">
        <v>15</v>
      </c>
      <c r="K116" s="33">
        <f t="shared" si="4"/>
        <v>730.65</v>
      </c>
      <c r="L116" s="3">
        <v>0.05</v>
      </c>
      <c r="M116" s="33">
        <f t="shared" si="5"/>
        <v>730.28467499999999</v>
      </c>
      <c r="N116" s="33">
        <v>447.37</v>
      </c>
      <c r="O116" s="33">
        <f t="shared" si="6"/>
        <v>282.91467499999999</v>
      </c>
      <c r="P116" s="4">
        <f t="shared" si="7"/>
        <v>0.38740327530493501</v>
      </c>
    </row>
    <row r="117" spans="1:16" x14ac:dyDescent="0.25">
      <c r="A117" s="5" t="s">
        <v>188</v>
      </c>
      <c r="B117" s="31">
        <v>44962</v>
      </c>
      <c r="C117" s="5" t="s">
        <v>43</v>
      </c>
      <c r="D117" s="5" t="s">
        <v>25</v>
      </c>
      <c r="E117" s="5" t="s">
        <v>19</v>
      </c>
      <c r="F117" s="5" t="s">
        <v>45</v>
      </c>
      <c r="G117" s="5" t="s">
        <v>105</v>
      </c>
      <c r="H117" s="5" t="s">
        <v>68</v>
      </c>
      <c r="I117" s="32">
        <v>28.74</v>
      </c>
      <c r="J117" s="6">
        <v>8</v>
      </c>
      <c r="K117" s="32">
        <f t="shared" si="4"/>
        <v>229.92</v>
      </c>
      <c r="L117" s="7">
        <v>0</v>
      </c>
      <c r="M117" s="32">
        <f t="shared" si="5"/>
        <v>229.92</v>
      </c>
      <c r="N117" s="32">
        <v>125.81</v>
      </c>
      <c r="O117" s="32">
        <f t="shared" si="6"/>
        <v>104.10999999999999</v>
      </c>
      <c r="P117" s="8">
        <f t="shared" si="7"/>
        <v>0.45280967292971464</v>
      </c>
    </row>
    <row r="118" spans="1:16" x14ac:dyDescent="0.25">
      <c r="A118" s="1" t="s">
        <v>189</v>
      </c>
      <c r="B118" s="30">
        <v>45099</v>
      </c>
      <c r="C118" s="1" t="s">
        <v>48</v>
      </c>
      <c r="D118" s="1" t="s">
        <v>49</v>
      </c>
      <c r="E118" s="1" t="s">
        <v>83</v>
      </c>
      <c r="F118" s="1" t="s">
        <v>40</v>
      </c>
      <c r="G118" s="1" t="s">
        <v>79</v>
      </c>
      <c r="H118" s="1" t="s">
        <v>56</v>
      </c>
      <c r="I118" s="33">
        <v>49.1</v>
      </c>
      <c r="J118" s="2">
        <v>27</v>
      </c>
      <c r="K118" s="33">
        <f t="shared" si="4"/>
        <v>1325.7</v>
      </c>
      <c r="L118" s="3">
        <v>0.2</v>
      </c>
      <c r="M118" s="33">
        <f t="shared" si="5"/>
        <v>1323.0486000000001</v>
      </c>
      <c r="N118" s="33">
        <v>800.58</v>
      </c>
      <c r="O118" s="33">
        <f t="shared" si="6"/>
        <v>522.46860000000004</v>
      </c>
      <c r="P118" s="4">
        <f t="shared" si="7"/>
        <v>0.39489751170138421</v>
      </c>
    </row>
    <row r="119" spans="1:16" x14ac:dyDescent="0.25">
      <c r="A119" s="5" t="s">
        <v>190</v>
      </c>
      <c r="B119" s="31">
        <v>45048</v>
      </c>
      <c r="C119" s="5" t="s">
        <v>53</v>
      </c>
      <c r="D119" s="5" t="s">
        <v>49</v>
      </c>
      <c r="E119" s="5" t="s">
        <v>36</v>
      </c>
      <c r="F119" s="5" t="s">
        <v>26</v>
      </c>
      <c r="G119" s="5" t="s">
        <v>31</v>
      </c>
      <c r="H119" s="5" t="s">
        <v>68</v>
      </c>
      <c r="I119" s="32">
        <v>275.06</v>
      </c>
      <c r="J119" s="6">
        <v>28</v>
      </c>
      <c r="K119" s="32">
        <f t="shared" si="4"/>
        <v>7701.68</v>
      </c>
      <c r="L119" s="7">
        <v>0.1</v>
      </c>
      <c r="M119" s="32">
        <f t="shared" si="5"/>
        <v>7693.9783200000002</v>
      </c>
      <c r="N119" s="32">
        <v>3657</v>
      </c>
      <c r="O119" s="32">
        <f t="shared" si="6"/>
        <v>4036.9783200000002</v>
      </c>
      <c r="P119" s="8">
        <f t="shared" si="7"/>
        <v>0.52469322788525874</v>
      </c>
    </row>
    <row r="120" spans="1:16" x14ac:dyDescent="0.25">
      <c r="A120" s="1" t="s">
        <v>191</v>
      </c>
      <c r="B120" s="30">
        <v>45242</v>
      </c>
      <c r="C120" s="1" t="s">
        <v>17</v>
      </c>
      <c r="D120" s="1" t="s">
        <v>18</v>
      </c>
      <c r="E120" s="1" t="s">
        <v>36</v>
      </c>
      <c r="F120" s="1" t="s">
        <v>45</v>
      </c>
      <c r="G120" s="1" t="s">
        <v>46</v>
      </c>
      <c r="H120" s="1" t="s">
        <v>38</v>
      </c>
      <c r="I120" s="33">
        <v>49.75</v>
      </c>
      <c r="J120" s="2">
        <v>4</v>
      </c>
      <c r="K120" s="33">
        <f t="shared" si="4"/>
        <v>199</v>
      </c>
      <c r="L120" s="3">
        <v>0.2</v>
      </c>
      <c r="M120" s="33">
        <f t="shared" si="5"/>
        <v>198.602</v>
      </c>
      <c r="N120" s="33">
        <v>94.1</v>
      </c>
      <c r="O120" s="33">
        <f t="shared" si="6"/>
        <v>104.50200000000001</v>
      </c>
      <c r="P120" s="4">
        <f t="shared" si="7"/>
        <v>0.52618805450096173</v>
      </c>
    </row>
    <row r="121" spans="1:16" x14ac:dyDescent="0.25">
      <c r="A121" s="5" t="s">
        <v>192</v>
      </c>
      <c r="B121" s="31">
        <v>45037</v>
      </c>
      <c r="C121" s="5" t="s">
        <v>74</v>
      </c>
      <c r="D121" s="5" t="s">
        <v>49</v>
      </c>
      <c r="E121" s="5" t="s">
        <v>19</v>
      </c>
      <c r="F121" s="5" t="s">
        <v>45</v>
      </c>
      <c r="G121" s="5" t="s">
        <v>105</v>
      </c>
      <c r="H121" s="5" t="s">
        <v>22</v>
      </c>
      <c r="I121" s="32">
        <v>41.83</v>
      </c>
      <c r="J121" s="6">
        <v>26</v>
      </c>
      <c r="K121" s="32">
        <f t="shared" si="4"/>
        <v>1087.58</v>
      </c>
      <c r="L121" s="7">
        <v>0.05</v>
      </c>
      <c r="M121" s="32">
        <f t="shared" si="5"/>
        <v>1087.03621</v>
      </c>
      <c r="N121" s="32">
        <v>508.09</v>
      </c>
      <c r="O121" s="32">
        <f t="shared" si="6"/>
        <v>578.94621000000006</v>
      </c>
      <c r="P121" s="8">
        <f t="shared" si="7"/>
        <v>0.53259146721524586</v>
      </c>
    </row>
    <row r="122" spans="1:16" x14ac:dyDescent="0.25">
      <c r="A122" s="1" t="s">
        <v>193</v>
      </c>
      <c r="B122" s="30">
        <v>45176</v>
      </c>
      <c r="C122" s="1" t="s">
        <v>71</v>
      </c>
      <c r="D122" s="1" t="s">
        <v>35</v>
      </c>
      <c r="E122" s="1" t="s">
        <v>44</v>
      </c>
      <c r="F122" s="1" t="s">
        <v>26</v>
      </c>
      <c r="G122" s="1" t="s">
        <v>94</v>
      </c>
      <c r="H122" s="1" t="s">
        <v>51</v>
      </c>
      <c r="I122" s="33">
        <v>116.49</v>
      </c>
      <c r="J122" s="2">
        <v>20</v>
      </c>
      <c r="K122" s="33">
        <f t="shared" si="4"/>
        <v>2329.7999999999997</v>
      </c>
      <c r="L122" s="3">
        <v>0</v>
      </c>
      <c r="M122" s="33">
        <f t="shared" si="5"/>
        <v>2329.7999999999997</v>
      </c>
      <c r="N122" s="33">
        <v>1209.9000000000001</v>
      </c>
      <c r="O122" s="33">
        <f t="shared" si="6"/>
        <v>1119.8999999999996</v>
      </c>
      <c r="P122" s="4">
        <f t="shared" si="7"/>
        <v>0.48068503734226103</v>
      </c>
    </row>
    <row r="123" spans="1:16" x14ac:dyDescent="0.25">
      <c r="A123" s="5" t="s">
        <v>194</v>
      </c>
      <c r="B123" s="31">
        <v>44990</v>
      </c>
      <c r="C123" s="5" t="s">
        <v>58</v>
      </c>
      <c r="D123" s="5" t="s">
        <v>25</v>
      </c>
      <c r="E123" s="5" t="s">
        <v>36</v>
      </c>
      <c r="F123" s="5" t="s">
        <v>26</v>
      </c>
      <c r="G123" s="5" t="s">
        <v>120</v>
      </c>
      <c r="H123" s="5" t="s">
        <v>28</v>
      </c>
      <c r="I123" s="32">
        <v>173.86</v>
      </c>
      <c r="J123" s="6">
        <v>12</v>
      </c>
      <c r="K123" s="32">
        <f t="shared" si="4"/>
        <v>2086.3200000000002</v>
      </c>
      <c r="L123" s="7">
        <v>0.05</v>
      </c>
      <c r="M123" s="32">
        <f t="shared" si="5"/>
        <v>2085.2768400000004</v>
      </c>
      <c r="N123" s="32">
        <v>1245.99</v>
      </c>
      <c r="O123" s="32">
        <f t="shared" si="6"/>
        <v>839.28684000000044</v>
      </c>
      <c r="P123" s="8">
        <f t="shared" si="7"/>
        <v>0.40248221430397713</v>
      </c>
    </row>
    <row r="124" spans="1:16" x14ac:dyDescent="0.25">
      <c r="A124" s="1" t="s">
        <v>195</v>
      </c>
      <c r="B124" s="30">
        <v>44932</v>
      </c>
      <c r="C124" s="1" t="s">
        <v>24</v>
      </c>
      <c r="D124" s="1" t="s">
        <v>25</v>
      </c>
      <c r="E124" s="1" t="s">
        <v>36</v>
      </c>
      <c r="F124" s="1" t="s">
        <v>45</v>
      </c>
      <c r="G124" s="1" t="s">
        <v>155</v>
      </c>
      <c r="H124" s="1" t="s">
        <v>56</v>
      </c>
      <c r="I124" s="33">
        <v>139.57</v>
      </c>
      <c r="J124" s="2">
        <v>24</v>
      </c>
      <c r="K124" s="33">
        <f t="shared" si="4"/>
        <v>3349.68</v>
      </c>
      <c r="L124" s="3">
        <v>0</v>
      </c>
      <c r="M124" s="33">
        <f t="shared" si="5"/>
        <v>3349.68</v>
      </c>
      <c r="N124" s="33">
        <v>1906.11</v>
      </c>
      <c r="O124" s="33">
        <f t="shared" si="6"/>
        <v>1443.57</v>
      </c>
      <c r="P124" s="4">
        <f t="shared" si="7"/>
        <v>0.43095758400802464</v>
      </c>
    </row>
    <row r="125" spans="1:16" x14ac:dyDescent="0.25">
      <c r="A125" s="5" t="s">
        <v>196</v>
      </c>
      <c r="B125" s="31">
        <v>45094</v>
      </c>
      <c r="C125" s="5" t="s">
        <v>48</v>
      </c>
      <c r="D125" s="5" t="s">
        <v>49</v>
      </c>
      <c r="E125" s="5" t="s">
        <v>19</v>
      </c>
      <c r="F125" s="5" t="s">
        <v>66</v>
      </c>
      <c r="G125" s="5" t="s">
        <v>77</v>
      </c>
      <c r="H125" s="5" t="s">
        <v>22</v>
      </c>
      <c r="I125" s="32">
        <v>24.71</v>
      </c>
      <c r="J125" s="6">
        <v>2</v>
      </c>
      <c r="K125" s="32">
        <f t="shared" si="4"/>
        <v>49.42</v>
      </c>
      <c r="L125" s="7">
        <v>0.05</v>
      </c>
      <c r="M125" s="32">
        <f t="shared" si="5"/>
        <v>49.395290000000003</v>
      </c>
      <c r="N125" s="32">
        <v>27.9</v>
      </c>
      <c r="O125" s="32">
        <f t="shared" si="6"/>
        <v>21.495290000000004</v>
      </c>
      <c r="P125" s="8">
        <f t="shared" si="7"/>
        <v>0.43516881872745361</v>
      </c>
    </row>
    <row r="126" spans="1:16" x14ac:dyDescent="0.25">
      <c r="A126" s="1" t="s">
        <v>197</v>
      </c>
      <c r="B126" s="30">
        <v>44928</v>
      </c>
      <c r="C126" s="1" t="s">
        <v>24</v>
      </c>
      <c r="D126" s="1" t="s">
        <v>25</v>
      </c>
      <c r="E126" s="1" t="s">
        <v>83</v>
      </c>
      <c r="F126" s="1" t="s">
        <v>66</v>
      </c>
      <c r="G126" s="1" t="s">
        <v>116</v>
      </c>
      <c r="H126" s="1" t="s">
        <v>64</v>
      </c>
      <c r="I126" s="33">
        <v>80.16</v>
      </c>
      <c r="J126" s="2">
        <v>30</v>
      </c>
      <c r="K126" s="33">
        <f t="shared" si="4"/>
        <v>2404.7999999999997</v>
      </c>
      <c r="L126" s="3">
        <v>0.2</v>
      </c>
      <c r="M126" s="33">
        <f t="shared" si="5"/>
        <v>2399.9903999999997</v>
      </c>
      <c r="N126" s="33">
        <v>1126.33</v>
      </c>
      <c r="O126" s="33">
        <f t="shared" si="6"/>
        <v>1273.6603999999998</v>
      </c>
      <c r="P126" s="4">
        <f t="shared" si="7"/>
        <v>0.53069395610915771</v>
      </c>
    </row>
    <row r="127" spans="1:16" x14ac:dyDescent="0.25">
      <c r="A127" s="5" t="s">
        <v>198</v>
      </c>
      <c r="B127" s="31">
        <v>44968</v>
      </c>
      <c r="C127" s="5" t="s">
        <v>43</v>
      </c>
      <c r="D127" s="5" t="s">
        <v>25</v>
      </c>
      <c r="E127" s="5" t="s">
        <v>44</v>
      </c>
      <c r="F127" s="5" t="s">
        <v>45</v>
      </c>
      <c r="G127" s="5" t="s">
        <v>155</v>
      </c>
      <c r="H127" s="5" t="s">
        <v>38</v>
      </c>
      <c r="I127" s="32">
        <v>145.46</v>
      </c>
      <c r="J127" s="6">
        <v>19</v>
      </c>
      <c r="K127" s="32">
        <f t="shared" si="4"/>
        <v>2763.7400000000002</v>
      </c>
      <c r="L127" s="7">
        <v>0.1</v>
      </c>
      <c r="M127" s="32">
        <f t="shared" si="5"/>
        <v>2760.9762600000004</v>
      </c>
      <c r="N127" s="32">
        <v>1506.85</v>
      </c>
      <c r="O127" s="32">
        <f t="shared" si="6"/>
        <v>1254.1262600000005</v>
      </c>
      <c r="P127" s="8">
        <f t="shared" si="7"/>
        <v>0.45423290238649144</v>
      </c>
    </row>
    <row r="128" spans="1:16" x14ac:dyDescent="0.25">
      <c r="A128" s="1" t="s">
        <v>199</v>
      </c>
      <c r="B128" s="30">
        <v>45216</v>
      </c>
      <c r="C128" s="1" t="s">
        <v>30</v>
      </c>
      <c r="D128" s="1" t="s">
        <v>18</v>
      </c>
      <c r="E128" s="1" t="s">
        <v>36</v>
      </c>
      <c r="F128" s="1" t="s">
        <v>66</v>
      </c>
      <c r="G128" s="1" t="s">
        <v>77</v>
      </c>
      <c r="H128" s="1" t="s">
        <v>56</v>
      </c>
      <c r="I128" s="33">
        <v>17.09</v>
      </c>
      <c r="J128" s="2">
        <v>23</v>
      </c>
      <c r="K128" s="33">
        <f t="shared" si="4"/>
        <v>393.07</v>
      </c>
      <c r="L128" s="3">
        <v>0</v>
      </c>
      <c r="M128" s="33">
        <f t="shared" si="5"/>
        <v>393.07</v>
      </c>
      <c r="N128" s="33">
        <v>260.72000000000003</v>
      </c>
      <c r="O128" s="33">
        <f t="shared" si="6"/>
        <v>132.34999999999997</v>
      </c>
      <c r="P128" s="4">
        <f t="shared" si="7"/>
        <v>0.33670847431755152</v>
      </c>
    </row>
    <row r="129" spans="1:16" x14ac:dyDescent="0.25">
      <c r="A129" s="5" t="s">
        <v>200</v>
      </c>
      <c r="B129" s="31">
        <v>45255</v>
      </c>
      <c r="C129" s="5" t="s">
        <v>17</v>
      </c>
      <c r="D129" s="5" t="s">
        <v>18</v>
      </c>
      <c r="E129" s="5" t="s">
        <v>44</v>
      </c>
      <c r="F129" s="5" t="s">
        <v>66</v>
      </c>
      <c r="G129" s="5" t="s">
        <v>116</v>
      </c>
      <c r="H129" s="5" t="s">
        <v>22</v>
      </c>
      <c r="I129" s="32">
        <v>77.48</v>
      </c>
      <c r="J129" s="6">
        <v>27</v>
      </c>
      <c r="K129" s="32">
        <f t="shared" si="4"/>
        <v>2091.96</v>
      </c>
      <c r="L129" s="7">
        <v>0.2</v>
      </c>
      <c r="M129" s="32">
        <f t="shared" si="5"/>
        <v>2087.7760800000001</v>
      </c>
      <c r="N129" s="32">
        <v>1149.97</v>
      </c>
      <c r="O129" s="32">
        <f t="shared" si="6"/>
        <v>937.80608000000007</v>
      </c>
      <c r="P129" s="8">
        <f t="shared" si="7"/>
        <v>0.44918901456137</v>
      </c>
    </row>
    <row r="130" spans="1:16" x14ac:dyDescent="0.25">
      <c r="A130" s="1" t="s">
        <v>201</v>
      </c>
      <c r="B130" s="30">
        <v>45264</v>
      </c>
      <c r="C130" s="1" t="s">
        <v>82</v>
      </c>
      <c r="D130" s="1" t="s">
        <v>18</v>
      </c>
      <c r="E130" s="1" t="s">
        <v>36</v>
      </c>
      <c r="F130" s="1" t="s">
        <v>66</v>
      </c>
      <c r="G130" s="1" t="s">
        <v>125</v>
      </c>
      <c r="H130" s="1" t="s">
        <v>38</v>
      </c>
      <c r="I130" s="33">
        <v>48.92</v>
      </c>
      <c r="J130" s="2">
        <v>5</v>
      </c>
      <c r="K130" s="33">
        <f t="shared" ref="K130:K193" si="8">I130*J130</f>
        <v>244.60000000000002</v>
      </c>
      <c r="L130" s="3">
        <v>0.2</v>
      </c>
      <c r="M130" s="33">
        <f t="shared" ref="M130:M193" si="9">K130*(1-L130/100)</f>
        <v>244.11080000000001</v>
      </c>
      <c r="N130" s="33">
        <v>114.18</v>
      </c>
      <c r="O130" s="33">
        <f t="shared" ref="O130:O193" si="10">M130-N130</f>
        <v>129.9308</v>
      </c>
      <c r="P130" s="4">
        <f t="shared" ref="P130:P193" si="11">IF(M130=0,0,O130/M130)</f>
        <v>0.53226157957779829</v>
      </c>
    </row>
    <row r="131" spans="1:16" x14ac:dyDescent="0.25">
      <c r="A131" s="5" t="s">
        <v>202</v>
      </c>
      <c r="B131" s="31">
        <v>44960</v>
      </c>
      <c r="C131" s="5" t="s">
        <v>43</v>
      </c>
      <c r="D131" s="5" t="s">
        <v>25</v>
      </c>
      <c r="E131" s="5" t="s">
        <v>83</v>
      </c>
      <c r="F131" s="5" t="s">
        <v>45</v>
      </c>
      <c r="G131" s="5" t="s">
        <v>105</v>
      </c>
      <c r="H131" s="5" t="s">
        <v>51</v>
      </c>
      <c r="I131" s="32">
        <v>35.35</v>
      </c>
      <c r="J131" s="6">
        <v>19</v>
      </c>
      <c r="K131" s="32">
        <f t="shared" si="8"/>
        <v>671.65</v>
      </c>
      <c r="L131" s="7">
        <v>0.1</v>
      </c>
      <c r="M131" s="32">
        <f t="shared" si="9"/>
        <v>670.97834999999998</v>
      </c>
      <c r="N131" s="32">
        <v>414.69</v>
      </c>
      <c r="O131" s="32">
        <f t="shared" si="10"/>
        <v>256.28834999999998</v>
      </c>
      <c r="P131" s="8">
        <f t="shared" si="11"/>
        <v>0.38196217508359248</v>
      </c>
    </row>
    <row r="132" spans="1:16" x14ac:dyDescent="0.25">
      <c r="A132" s="1" t="s">
        <v>203</v>
      </c>
      <c r="B132" s="30">
        <v>45119</v>
      </c>
      <c r="C132" s="1" t="s">
        <v>34</v>
      </c>
      <c r="D132" s="1" t="s">
        <v>35</v>
      </c>
      <c r="E132" s="1" t="s">
        <v>83</v>
      </c>
      <c r="F132" s="1" t="s">
        <v>45</v>
      </c>
      <c r="G132" s="1" t="s">
        <v>105</v>
      </c>
      <c r="H132" s="1" t="s">
        <v>38</v>
      </c>
      <c r="I132" s="33">
        <v>32.270000000000003</v>
      </c>
      <c r="J132" s="2">
        <v>19</v>
      </c>
      <c r="K132" s="33">
        <f t="shared" si="8"/>
        <v>613.13000000000011</v>
      </c>
      <c r="L132" s="3">
        <v>0.05</v>
      </c>
      <c r="M132" s="33">
        <f t="shared" si="9"/>
        <v>612.82343500000013</v>
      </c>
      <c r="N132" s="33">
        <v>299.67</v>
      </c>
      <c r="O132" s="33">
        <f t="shared" si="10"/>
        <v>313.15343500000012</v>
      </c>
      <c r="P132" s="4">
        <f t="shared" si="11"/>
        <v>0.5110010765172518</v>
      </c>
    </row>
    <row r="133" spans="1:16" x14ac:dyDescent="0.25">
      <c r="A133" s="5" t="s">
        <v>204</v>
      </c>
      <c r="B133" s="31">
        <v>45146</v>
      </c>
      <c r="C133" s="5" t="s">
        <v>62</v>
      </c>
      <c r="D133" s="5" t="s">
        <v>35</v>
      </c>
      <c r="E133" s="5" t="s">
        <v>19</v>
      </c>
      <c r="F133" s="5" t="s">
        <v>20</v>
      </c>
      <c r="G133" s="5" t="s">
        <v>37</v>
      </c>
      <c r="H133" s="5" t="s">
        <v>32</v>
      </c>
      <c r="I133" s="32">
        <v>5.74</v>
      </c>
      <c r="J133" s="6">
        <v>9</v>
      </c>
      <c r="K133" s="32">
        <f t="shared" si="8"/>
        <v>51.660000000000004</v>
      </c>
      <c r="L133" s="7">
        <v>0.05</v>
      </c>
      <c r="M133" s="32">
        <f t="shared" si="9"/>
        <v>51.634170000000005</v>
      </c>
      <c r="N133" s="32">
        <v>33.700000000000003</v>
      </c>
      <c r="O133" s="32">
        <f t="shared" si="10"/>
        <v>17.934170000000002</v>
      </c>
      <c r="P133" s="8">
        <f t="shared" si="11"/>
        <v>0.3473314280059116</v>
      </c>
    </row>
    <row r="134" spans="1:16" x14ac:dyDescent="0.25">
      <c r="A134" s="1" t="s">
        <v>205</v>
      </c>
      <c r="B134" s="30">
        <v>45194</v>
      </c>
      <c r="C134" s="1" t="s">
        <v>71</v>
      </c>
      <c r="D134" s="1" t="s">
        <v>35</v>
      </c>
      <c r="E134" s="1" t="s">
        <v>19</v>
      </c>
      <c r="F134" s="1" t="s">
        <v>40</v>
      </c>
      <c r="G134" s="1" t="s">
        <v>41</v>
      </c>
      <c r="H134" s="1" t="s">
        <v>28</v>
      </c>
      <c r="I134" s="33">
        <v>54.46</v>
      </c>
      <c r="J134" s="2">
        <v>23</v>
      </c>
      <c r="K134" s="33">
        <f t="shared" si="8"/>
        <v>1252.58</v>
      </c>
      <c r="L134" s="3">
        <v>0.05</v>
      </c>
      <c r="M134" s="33">
        <f t="shared" si="9"/>
        <v>1251.95371</v>
      </c>
      <c r="N134" s="33">
        <v>852.26</v>
      </c>
      <c r="O134" s="33">
        <f t="shared" si="10"/>
        <v>399.69371000000001</v>
      </c>
      <c r="P134" s="4">
        <f t="shared" si="11"/>
        <v>0.31925598111770442</v>
      </c>
    </row>
    <row r="135" spans="1:16" x14ac:dyDescent="0.25">
      <c r="A135" s="5" t="s">
        <v>206</v>
      </c>
      <c r="B135" s="31">
        <v>45078</v>
      </c>
      <c r="C135" s="5" t="s">
        <v>48</v>
      </c>
      <c r="D135" s="5" t="s">
        <v>49</v>
      </c>
      <c r="E135" s="5" t="s">
        <v>44</v>
      </c>
      <c r="F135" s="5" t="s">
        <v>26</v>
      </c>
      <c r="G135" s="5" t="s">
        <v>207</v>
      </c>
      <c r="H135" s="5" t="s">
        <v>56</v>
      </c>
      <c r="I135" s="32">
        <v>32.72</v>
      </c>
      <c r="J135" s="6">
        <v>24</v>
      </c>
      <c r="K135" s="32">
        <f t="shared" si="8"/>
        <v>785.28</v>
      </c>
      <c r="L135" s="7">
        <v>0</v>
      </c>
      <c r="M135" s="32">
        <f t="shared" si="9"/>
        <v>785.28</v>
      </c>
      <c r="N135" s="32">
        <v>371.36</v>
      </c>
      <c r="O135" s="32">
        <f t="shared" si="10"/>
        <v>413.91999999999996</v>
      </c>
      <c r="P135" s="8">
        <f t="shared" si="11"/>
        <v>0.52709861450692741</v>
      </c>
    </row>
    <row r="136" spans="1:16" x14ac:dyDescent="0.25">
      <c r="A136" s="1" t="s">
        <v>208</v>
      </c>
      <c r="B136" s="30">
        <v>45176</v>
      </c>
      <c r="C136" s="1" t="s">
        <v>71</v>
      </c>
      <c r="D136" s="1" t="s">
        <v>35</v>
      </c>
      <c r="E136" s="1" t="s">
        <v>83</v>
      </c>
      <c r="F136" s="1" t="s">
        <v>66</v>
      </c>
      <c r="G136" s="1" t="s">
        <v>116</v>
      </c>
      <c r="H136" s="1" t="s">
        <v>32</v>
      </c>
      <c r="I136" s="33">
        <v>68.510000000000005</v>
      </c>
      <c r="J136" s="2">
        <v>10</v>
      </c>
      <c r="K136" s="33">
        <f t="shared" si="8"/>
        <v>685.1</v>
      </c>
      <c r="L136" s="3">
        <v>0.1</v>
      </c>
      <c r="M136" s="33">
        <f t="shared" si="9"/>
        <v>684.41489999999999</v>
      </c>
      <c r="N136" s="33">
        <v>441.34</v>
      </c>
      <c r="O136" s="33">
        <f t="shared" si="10"/>
        <v>243.07490000000001</v>
      </c>
      <c r="P136" s="4">
        <f t="shared" si="11"/>
        <v>0.35515722992003829</v>
      </c>
    </row>
    <row r="137" spans="1:16" x14ac:dyDescent="0.25">
      <c r="A137" s="5" t="s">
        <v>209</v>
      </c>
      <c r="B137" s="31">
        <v>45219</v>
      </c>
      <c r="C137" s="5" t="s">
        <v>30</v>
      </c>
      <c r="D137" s="5" t="s">
        <v>18</v>
      </c>
      <c r="E137" s="5" t="s">
        <v>19</v>
      </c>
      <c r="F137" s="5" t="s">
        <v>45</v>
      </c>
      <c r="G137" s="5" t="s">
        <v>155</v>
      </c>
      <c r="H137" s="5" t="s">
        <v>51</v>
      </c>
      <c r="I137" s="32">
        <v>153.27000000000001</v>
      </c>
      <c r="J137" s="6">
        <v>2</v>
      </c>
      <c r="K137" s="32">
        <f t="shared" si="8"/>
        <v>306.54000000000002</v>
      </c>
      <c r="L137" s="7">
        <v>0</v>
      </c>
      <c r="M137" s="32">
        <f t="shared" si="9"/>
        <v>306.54000000000002</v>
      </c>
      <c r="N137" s="32">
        <v>158.79</v>
      </c>
      <c r="O137" s="32">
        <f t="shared" si="10"/>
        <v>147.75000000000003</v>
      </c>
      <c r="P137" s="8">
        <f t="shared" si="11"/>
        <v>0.48199256214523395</v>
      </c>
    </row>
    <row r="138" spans="1:16" x14ac:dyDescent="0.25">
      <c r="A138" s="1" t="s">
        <v>210</v>
      </c>
      <c r="B138" s="30">
        <v>45244</v>
      </c>
      <c r="C138" s="1" t="s">
        <v>17</v>
      </c>
      <c r="D138" s="1" t="s">
        <v>18</v>
      </c>
      <c r="E138" s="1" t="s">
        <v>83</v>
      </c>
      <c r="F138" s="1" t="s">
        <v>40</v>
      </c>
      <c r="G138" s="1" t="s">
        <v>59</v>
      </c>
      <c r="H138" s="1" t="s">
        <v>56</v>
      </c>
      <c r="I138" s="33">
        <v>10.37</v>
      </c>
      <c r="J138" s="2">
        <v>25</v>
      </c>
      <c r="K138" s="33">
        <f t="shared" si="8"/>
        <v>259.25</v>
      </c>
      <c r="L138" s="3">
        <v>0</v>
      </c>
      <c r="M138" s="33">
        <f t="shared" si="9"/>
        <v>259.25</v>
      </c>
      <c r="N138" s="33">
        <v>138.97999999999999</v>
      </c>
      <c r="O138" s="33">
        <f t="shared" si="10"/>
        <v>120.27000000000001</v>
      </c>
      <c r="P138" s="4">
        <f t="shared" si="11"/>
        <v>0.46391513982642241</v>
      </c>
    </row>
    <row r="139" spans="1:16" x14ac:dyDescent="0.25">
      <c r="A139" s="5" t="s">
        <v>211</v>
      </c>
      <c r="B139" s="31">
        <v>44967</v>
      </c>
      <c r="C139" s="5" t="s">
        <v>43</v>
      </c>
      <c r="D139" s="5" t="s">
        <v>25</v>
      </c>
      <c r="E139" s="5" t="s">
        <v>83</v>
      </c>
      <c r="F139" s="5" t="s">
        <v>40</v>
      </c>
      <c r="G139" s="5" t="s">
        <v>41</v>
      </c>
      <c r="H139" s="5" t="s">
        <v>28</v>
      </c>
      <c r="I139" s="32">
        <v>55.56</v>
      </c>
      <c r="J139" s="6">
        <v>20</v>
      </c>
      <c r="K139" s="32">
        <f t="shared" si="8"/>
        <v>1111.2</v>
      </c>
      <c r="L139" s="7">
        <v>0</v>
      </c>
      <c r="M139" s="32">
        <f t="shared" si="9"/>
        <v>1111.2</v>
      </c>
      <c r="N139" s="32">
        <v>502.21</v>
      </c>
      <c r="O139" s="32">
        <f t="shared" si="10"/>
        <v>608.99</v>
      </c>
      <c r="P139" s="8">
        <f t="shared" si="11"/>
        <v>0.54804715622750177</v>
      </c>
    </row>
    <row r="140" spans="1:16" x14ac:dyDescent="0.25">
      <c r="A140" s="1" t="s">
        <v>212</v>
      </c>
      <c r="B140" s="30">
        <v>45053</v>
      </c>
      <c r="C140" s="1" t="s">
        <v>53</v>
      </c>
      <c r="D140" s="1" t="s">
        <v>49</v>
      </c>
      <c r="E140" s="1" t="s">
        <v>44</v>
      </c>
      <c r="F140" s="1" t="s">
        <v>20</v>
      </c>
      <c r="G140" s="1" t="s">
        <v>98</v>
      </c>
      <c r="H140" s="1" t="s">
        <v>32</v>
      </c>
      <c r="I140" s="33">
        <v>11.52</v>
      </c>
      <c r="J140" s="2">
        <v>16</v>
      </c>
      <c r="K140" s="33">
        <f t="shared" si="8"/>
        <v>184.32</v>
      </c>
      <c r="L140" s="3">
        <v>0.15</v>
      </c>
      <c r="M140" s="33">
        <f t="shared" si="9"/>
        <v>184.04352</v>
      </c>
      <c r="N140" s="33">
        <v>91.04</v>
      </c>
      <c r="O140" s="33">
        <f t="shared" si="10"/>
        <v>93.003519999999995</v>
      </c>
      <c r="P140" s="4">
        <f t="shared" si="11"/>
        <v>0.50533439047460071</v>
      </c>
    </row>
    <row r="141" spans="1:16" x14ac:dyDescent="0.25">
      <c r="A141" s="5" t="s">
        <v>213</v>
      </c>
      <c r="B141" s="31">
        <v>45125</v>
      </c>
      <c r="C141" s="5" t="s">
        <v>34</v>
      </c>
      <c r="D141" s="5" t="s">
        <v>35</v>
      </c>
      <c r="E141" s="5" t="s">
        <v>44</v>
      </c>
      <c r="F141" s="5" t="s">
        <v>40</v>
      </c>
      <c r="G141" s="5" t="s">
        <v>96</v>
      </c>
      <c r="H141" s="5" t="s">
        <v>32</v>
      </c>
      <c r="I141" s="32">
        <v>11.23</v>
      </c>
      <c r="J141" s="6">
        <v>28</v>
      </c>
      <c r="K141" s="32">
        <f t="shared" si="8"/>
        <v>314.44</v>
      </c>
      <c r="L141" s="7">
        <v>0</v>
      </c>
      <c r="M141" s="32">
        <f t="shared" si="9"/>
        <v>314.44</v>
      </c>
      <c r="N141" s="32">
        <v>175.83</v>
      </c>
      <c r="O141" s="32">
        <f t="shared" si="10"/>
        <v>138.60999999999999</v>
      </c>
      <c r="P141" s="8">
        <f t="shared" si="11"/>
        <v>0.44081541788576512</v>
      </c>
    </row>
    <row r="142" spans="1:16" x14ac:dyDescent="0.25">
      <c r="A142" s="1" t="s">
        <v>214</v>
      </c>
      <c r="B142" s="30">
        <v>45141</v>
      </c>
      <c r="C142" s="1" t="s">
        <v>62</v>
      </c>
      <c r="D142" s="1" t="s">
        <v>35</v>
      </c>
      <c r="E142" s="1" t="s">
        <v>36</v>
      </c>
      <c r="F142" s="1" t="s">
        <v>40</v>
      </c>
      <c r="G142" s="1" t="s">
        <v>59</v>
      </c>
      <c r="H142" s="1" t="s">
        <v>56</v>
      </c>
      <c r="I142" s="33">
        <v>12.55</v>
      </c>
      <c r="J142" s="2">
        <v>14</v>
      </c>
      <c r="K142" s="33">
        <f t="shared" si="8"/>
        <v>175.70000000000002</v>
      </c>
      <c r="L142" s="3">
        <v>0.05</v>
      </c>
      <c r="M142" s="33">
        <f t="shared" si="9"/>
        <v>175.61215000000001</v>
      </c>
      <c r="N142" s="33">
        <v>84.11</v>
      </c>
      <c r="O142" s="33">
        <f t="shared" si="10"/>
        <v>91.502150000000015</v>
      </c>
      <c r="P142" s="4">
        <f t="shared" si="11"/>
        <v>0.5210468068410985</v>
      </c>
    </row>
    <row r="143" spans="1:16" x14ac:dyDescent="0.25">
      <c r="A143" s="5" t="s">
        <v>215</v>
      </c>
      <c r="B143" s="31">
        <v>44937</v>
      </c>
      <c r="C143" s="5" t="s">
        <v>24</v>
      </c>
      <c r="D143" s="5" t="s">
        <v>25</v>
      </c>
      <c r="E143" s="5" t="s">
        <v>44</v>
      </c>
      <c r="F143" s="5" t="s">
        <v>40</v>
      </c>
      <c r="G143" s="5" t="s">
        <v>59</v>
      </c>
      <c r="H143" s="5" t="s">
        <v>32</v>
      </c>
      <c r="I143" s="32">
        <v>9.44</v>
      </c>
      <c r="J143" s="6">
        <v>28</v>
      </c>
      <c r="K143" s="32">
        <f t="shared" si="8"/>
        <v>264.32</v>
      </c>
      <c r="L143" s="7">
        <v>0</v>
      </c>
      <c r="M143" s="32">
        <f t="shared" si="9"/>
        <v>264.32</v>
      </c>
      <c r="N143" s="32">
        <v>135.03</v>
      </c>
      <c r="O143" s="32">
        <f t="shared" si="10"/>
        <v>129.29</v>
      </c>
      <c r="P143" s="8">
        <f t="shared" si="11"/>
        <v>0.48914194915254233</v>
      </c>
    </row>
    <row r="144" spans="1:16" x14ac:dyDescent="0.25">
      <c r="A144" s="1" t="s">
        <v>216</v>
      </c>
      <c r="B144" s="30">
        <v>45212</v>
      </c>
      <c r="C144" s="1" t="s">
        <v>30</v>
      </c>
      <c r="D144" s="1" t="s">
        <v>18</v>
      </c>
      <c r="E144" s="1" t="s">
        <v>19</v>
      </c>
      <c r="F144" s="1" t="s">
        <v>66</v>
      </c>
      <c r="G144" s="1" t="s">
        <v>125</v>
      </c>
      <c r="H144" s="1" t="s">
        <v>32</v>
      </c>
      <c r="I144" s="33">
        <v>45.49</v>
      </c>
      <c r="J144" s="2">
        <v>25</v>
      </c>
      <c r="K144" s="33">
        <f t="shared" si="8"/>
        <v>1137.25</v>
      </c>
      <c r="L144" s="3">
        <v>0</v>
      </c>
      <c r="M144" s="33">
        <f t="shared" si="9"/>
        <v>1137.25</v>
      </c>
      <c r="N144" s="33">
        <v>533.41999999999996</v>
      </c>
      <c r="O144" s="33">
        <f t="shared" si="10"/>
        <v>603.83000000000004</v>
      </c>
      <c r="P144" s="4">
        <f t="shared" si="11"/>
        <v>0.53095625412178504</v>
      </c>
    </row>
    <row r="145" spans="1:16" x14ac:dyDescent="0.25">
      <c r="A145" s="5" t="s">
        <v>217</v>
      </c>
      <c r="B145" s="31">
        <v>45234</v>
      </c>
      <c r="C145" s="5" t="s">
        <v>17</v>
      </c>
      <c r="D145" s="5" t="s">
        <v>18</v>
      </c>
      <c r="E145" s="5" t="s">
        <v>44</v>
      </c>
      <c r="F145" s="5" t="s">
        <v>20</v>
      </c>
      <c r="G145" s="5" t="s">
        <v>98</v>
      </c>
      <c r="H145" s="5" t="s">
        <v>51</v>
      </c>
      <c r="I145" s="32">
        <v>12.22</v>
      </c>
      <c r="J145" s="6">
        <v>5</v>
      </c>
      <c r="K145" s="32">
        <f t="shared" si="8"/>
        <v>61.1</v>
      </c>
      <c r="L145" s="7">
        <v>0.05</v>
      </c>
      <c r="M145" s="32">
        <f t="shared" si="9"/>
        <v>61.069450000000003</v>
      </c>
      <c r="N145" s="32">
        <v>30.5</v>
      </c>
      <c r="O145" s="32">
        <f t="shared" si="10"/>
        <v>30.569450000000003</v>
      </c>
      <c r="P145" s="8">
        <f t="shared" si="11"/>
        <v>0.50056861491302118</v>
      </c>
    </row>
    <row r="146" spans="1:16" x14ac:dyDescent="0.25">
      <c r="A146" s="1" t="s">
        <v>218</v>
      </c>
      <c r="B146" s="30">
        <v>45204</v>
      </c>
      <c r="C146" s="1" t="s">
        <v>30</v>
      </c>
      <c r="D146" s="1" t="s">
        <v>18</v>
      </c>
      <c r="E146" s="1" t="s">
        <v>19</v>
      </c>
      <c r="F146" s="1" t="s">
        <v>26</v>
      </c>
      <c r="G146" s="1" t="s">
        <v>31</v>
      </c>
      <c r="H146" s="1" t="s">
        <v>68</v>
      </c>
      <c r="I146" s="33">
        <v>255.44</v>
      </c>
      <c r="J146" s="2">
        <v>25</v>
      </c>
      <c r="K146" s="33">
        <f t="shared" si="8"/>
        <v>6386</v>
      </c>
      <c r="L146" s="3">
        <v>0.2</v>
      </c>
      <c r="M146" s="33">
        <f t="shared" si="9"/>
        <v>6373.2280000000001</v>
      </c>
      <c r="N146" s="33">
        <v>3961.2</v>
      </c>
      <c r="O146" s="33">
        <f t="shared" si="10"/>
        <v>2412.0280000000002</v>
      </c>
      <c r="P146" s="4">
        <f t="shared" si="11"/>
        <v>0.37846253107530442</v>
      </c>
    </row>
    <row r="147" spans="1:16" x14ac:dyDescent="0.25">
      <c r="A147" s="5" t="s">
        <v>219</v>
      </c>
      <c r="B147" s="31">
        <v>45220</v>
      </c>
      <c r="C147" s="5" t="s">
        <v>30</v>
      </c>
      <c r="D147" s="5" t="s">
        <v>18</v>
      </c>
      <c r="E147" s="5" t="s">
        <v>36</v>
      </c>
      <c r="F147" s="5" t="s">
        <v>20</v>
      </c>
      <c r="G147" s="5" t="s">
        <v>21</v>
      </c>
      <c r="H147" s="5" t="s">
        <v>68</v>
      </c>
      <c r="I147" s="32">
        <v>4.67</v>
      </c>
      <c r="J147" s="6">
        <v>15</v>
      </c>
      <c r="K147" s="32">
        <f t="shared" si="8"/>
        <v>70.05</v>
      </c>
      <c r="L147" s="7">
        <v>0.05</v>
      </c>
      <c r="M147" s="32">
        <f t="shared" si="9"/>
        <v>70.014975000000007</v>
      </c>
      <c r="N147" s="32">
        <v>45.48</v>
      </c>
      <c r="O147" s="32">
        <f t="shared" si="10"/>
        <v>24.53497500000001</v>
      </c>
      <c r="P147" s="8">
        <f t="shared" si="11"/>
        <v>0.35042467700659763</v>
      </c>
    </row>
    <row r="148" spans="1:16" x14ac:dyDescent="0.25">
      <c r="A148" s="1" t="s">
        <v>220</v>
      </c>
      <c r="B148" s="30">
        <v>45201</v>
      </c>
      <c r="C148" s="1" t="s">
        <v>30</v>
      </c>
      <c r="D148" s="1" t="s">
        <v>18</v>
      </c>
      <c r="E148" s="1" t="s">
        <v>36</v>
      </c>
      <c r="F148" s="1" t="s">
        <v>40</v>
      </c>
      <c r="G148" s="1" t="s">
        <v>63</v>
      </c>
      <c r="H148" s="1" t="s">
        <v>38</v>
      </c>
      <c r="I148" s="33">
        <v>28.27</v>
      </c>
      <c r="J148" s="2">
        <v>2</v>
      </c>
      <c r="K148" s="33">
        <f t="shared" si="8"/>
        <v>56.54</v>
      </c>
      <c r="L148" s="3">
        <v>0</v>
      </c>
      <c r="M148" s="33">
        <f t="shared" si="9"/>
        <v>56.54</v>
      </c>
      <c r="N148" s="33">
        <v>30.66</v>
      </c>
      <c r="O148" s="33">
        <f t="shared" si="10"/>
        <v>25.88</v>
      </c>
      <c r="P148" s="4">
        <f t="shared" si="11"/>
        <v>0.4577290413866289</v>
      </c>
    </row>
    <row r="149" spans="1:16" x14ac:dyDescent="0.25">
      <c r="A149" s="5" t="s">
        <v>221</v>
      </c>
      <c r="B149" s="31">
        <v>45049</v>
      </c>
      <c r="C149" s="5" t="s">
        <v>53</v>
      </c>
      <c r="D149" s="5" t="s">
        <v>49</v>
      </c>
      <c r="E149" s="5" t="s">
        <v>19</v>
      </c>
      <c r="F149" s="5" t="s">
        <v>40</v>
      </c>
      <c r="G149" s="5" t="s">
        <v>96</v>
      </c>
      <c r="H149" s="5" t="s">
        <v>56</v>
      </c>
      <c r="I149" s="32">
        <v>13.58</v>
      </c>
      <c r="J149" s="6">
        <v>18</v>
      </c>
      <c r="K149" s="32">
        <f t="shared" si="8"/>
        <v>244.44</v>
      </c>
      <c r="L149" s="7">
        <v>0</v>
      </c>
      <c r="M149" s="32">
        <f t="shared" si="9"/>
        <v>244.44</v>
      </c>
      <c r="N149" s="32">
        <v>137.44</v>
      </c>
      <c r="O149" s="32">
        <f t="shared" si="10"/>
        <v>107</v>
      </c>
      <c r="P149" s="8">
        <f t="shared" si="11"/>
        <v>0.43773523154966454</v>
      </c>
    </row>
    <row r="150" spans="1:16" x14ac:dyDescent="0.25">
      <c r="A150" s="1" t="s">
        <v>222</v>
      </c>
      <c r="B150" s="30">
        <v>45220</v>
      </c>
      <c r="C150" s="1" t="s">
        <v>30</v>
      </c>
      <c r="D150" s="1" t="s">
        <v>18</v>
      </c>
      <c r="E150" s="1" t="s">
        <v>44</v>
      </c>
      <c r="F150" s="1" t="s">
        <v>20</v>
      </c>
      <c r="G150" s="1" t="s">
        <v>37</v>
      </c>
      <c r="H150" s="1" t="s">
        <v>68</v>
      </c>
      <c r="I150" s="33">
        <v>6.9</v>
      </c>
      <c r="J150" s="2">
        <v>2</v>
      </c>
      <c r="K150" s="33">
        <f t="shared" si="8"/>
        <v>13.8</v>
      </c>
      <c r="L150" s="3">
        <v>0.2</v>
      </c>
      <c r="M150" s="33">
        <f t="shared" si="9"/>
        <v>13.772400000000001</v>
      </c>
      <c r="N150" s="33">
        <v>6.57</v>
      </c>
      <c r="O150" s="33">
        <f t="shared" si="10"/>
        <v>7.2024000000000008</v>
      </c>
      <c r="P150" s="4">
        <f t="shared" si="11"/>
        <v>0.52295896140106302</v>
      </c>
    </row>
    <row r="151" spans="1:16" x14ac:dyDescent="0.25">
      <c r="A151" s="5" t="s">
        <v>223</v>
      </c>
      <c r="B151" s="31">
        <v>45100</v>
      </c>
      <c r="C151" s="5" t="s">
        <v>48</v>
      </c>
      <c r="D151" s="5" t="s">
        <v>49</v>
      </c>
      <c r="E151" s="5" t="s">
        <v>19</v>
      </c>
      <c r="F151" s="5" t="s">
        <v>40</v>
      </c>
      <c r="G151" s="5" t="s">
        <v>79</v>
      </c>
      <c r="H151" s="5" t="s">
        <v>28</v>
      </c>
      <c r="I151" s="32">
        <v>40.950000000000003</v>
      </c>
      <c r="J151" s="6">
        <v>15</v>
      </c>
      <c r="K151" s="32">
        <f t="shared" si="8"/>
        <v>614.25</v>
      </c>
      <c r="L151" s="7">
        <v>0.2</v>
      </c>
      <c r="M151" s="32">
        <f t="shared" si="9"/>
        <v>613.02149999999995</v>
      </c>
      <c r="N151" s="32">
        <v>356.93</v>
      </c>
      <c r="O151" s="32">
        <f t="shared" si="10"/>
        <v>256.09149999999994</v>
      </c>
      <c r="P151" s="8">
        <f t="shared" si="11"/>
        <v>0.41775288468675237</v>
      </c>
    </row>
    <row r="152" spans="1:16" x14ac:dyDescent="0.25">
      <c r="A152" s="1" t="s">
        <v>224</v>
      </c>
      <c r="B152" s="30">
        <v>45205</v>
      </c>
      <c r="C152" s="1" t="s">
        <v>30</v>
      </c>
      <c r="D152" s="1" t="s">
        <v>18</v>
      </c>
      <c r="E152" s="1" t="s">
        <v>36</v>
      </c>
      <c r="F152" s="1" t="s">
        <v>20</v>
      </c>
      <c r="G152" s="1" t="s">
        <v>98</v>
      </c>
      <c r="H152" s="1" t="s">
        <v>56</v>
      </c>
      <c r="I152" s="33">
        <v>13.25</v>
      </c>
      <c r="J152" s="2">
        <v>11</v>
      </c>
      <c r="K152" s="33">
        <f t="shared" si="8"/>
        <v>145.75</v>
      </c>
      <c r="L152" s="3">
        <v>0</v>
      </c>
      <c r="M152" s="33">
        <f t="shared" si="9"/>
        <v>145.75</v>
      </c>
      <c r="N152" s="33">
        <v>94.36</v>
      </c>
      <c r="O152" s="33">
        <f t="shared" si="10"/>
        <v>51.39</v>
      </c>
      <c r="P152" s="4">
        <f t="shared" si="11"/>
        <v>0.35259005145797601</v>
      </c>
    </row>
    <row r="153" spans="1:16" x14ac:dyDescent="0.25">
      <c r="A153" s="5" t="s">
        <v>225</v>
      </c>
      <c r="B153" s="31">
        <v>45241</v>
      </c>
      <c r="C153" s="5" t="s">
        <v>17</v>
      </c>
      <c r="D153" s="5" t="s">
        <v>18</v>
      </c>
      <c r="E153" s="5" t="s">
        <v>19</v>
      </c>
      <c r="F153" s="5" t="s">
        <v>20</v>
      </c>
      <c r="G153" s="5" t="s">
        <v>54</v>
      </c>
      <c r="H153" s="5" t="s">
        <v>56</v>
      </c>
      <c r="I153" s="32">
        <v>8.34</v>
      </c>
      <c r="J153" s="6">
        <v>24</v>
      </c>
      <c r="K153" s="32">
        <f t="shared" si="8"/>
        <v>200.16</v>
      </c>
      <c r="L153" s="7">
        <v>0</v>
      </c>
      <c r="M153" s="32">
        <f t="shared" si="9"/>
        <v>200.16</v>
      </c>
      <c r="N153" s="32">
        <v>106.71</v>
      </c>
      <c r="O153" s="32">
        <f t="shared" si="10"/>
        <v>93.45</v>
      </c>
      <c r="P153" s="8">
        <f t="shared" si="11"/>
        <v>0.46687649880095927</v>
      </c>
    </row>
    <row r="154" spans="1:16" x14ac:dyDescent="0.25">
      <c r="A154" s="1" t="s">
        <v>226</v>
      </c>
      <c r="B154" s="30">
        <v>45221</v>
      </c>
      <c r="C154" s="1" t="s">
        <v>30</v>
      </c>
      <c r="D154" s="1" t="s">
        <v>18</v>
      </c>
      <c r="E154" s="1" t="s">
        <v>44</v>
      </c>
      <c r="F154" s="1" t="s">
        <v>20</v>
      </c>
      <c r="G154" s="1" t="s">
        <v>98</v>
      </c>
      <c r="H154" s="1" t="s">
        <v>56</v>
      </c>
      <c r="I154" s="33">
        <v>11.57</v>
      </c>
      <c r="J154" s="2">
        <v>23</v>
      </c>
      <c r="K154" s="33">
        <f t="shared" si="8"/>
        <v>266.11</v>
      </c>
      <c r="L154" s="3">
        <v>0</v>
      </c>
      <c r="M154" s="33">
        <f t="shared" si="9"/>
        <v>266.11</v>
      </c>
      <c r="N154" s="33">
        <v>140.38999999999999</v>
      </c>
      <c r="O154" s="33">
        <f t="shared" si="10"/>
        <v>125.72000000000003</v>
      </c>
      <c r="P154" s="4">
        <f t="shared" si="11"/>
        <v>0.47243621058960589</v>
      </c>
    </row>
    <row r="155" spans="1:16" x14ac:dyDescent="0.25">
      <c r="A155" s="5" t="s">
        <v>227</v>
      </c>
      <c r="B155" s="31">
        <v>45128</v>
      </c>
      <c r="C155" s="5" t="s">
        <v>34</v>
      </c>
      <c r="D155" s="5" t="s">
        <v>35</v>
      </c>
      <c r="E155" s="5" t="s">
        <v>36</v>
      </c>
      <c r="F155" s="5" t="s">
        <v>26</v>
      </c>
      <c r="G155" s="5" t="s">
        <v>207</v>
      </c>
      <c r="H155" s="5" t="s">
        <v>64</v>
      </c>
      <c r="I155" s="32">
        <v>42.81</v>
      </c>
      <c r="J155" s="6">
        <v>14</v>
      </c>
      <c r="K155" s="32">
        <f t="shared" si="8"/>
        <v>599.34</v>
      </c>
      <c r="L155" s="7">
        <v>0.1</v>
      </c>
      <c r="M155" s="32">
        <f t="shared" si="9"/>
        <v>598.74066000000005</v>
      </c>
      <c r="N155" s="32">
        <v>272.41000000000003</v>
      </c>
      <c r="O155" s="32">
        <f t="shared" si="10"/>
        <v>326.33066000000002</v>
      </c>
      <c r="P155" s="8">
        <f t="shared" si="11"/>
        <v>0.54502839342830001</v>
      </c>
    </row>
    <row r="156" spans="1:16" x14ac:dyDescent="0.25">
      <c r="A156" s="1" t="s">
        <v>228</v>
      </c>
      <c r="B156" s="30">
        <v>45052</v>
      </c>
      <c r="C156" s="1" t="s">
        <v>53</v>
      </c>
      <c r="D156" s="1" t="s">
        <v>49</v>
      </c>
      <c r="E156" s="1" t="s">
        <v>44</v>
      </c>
      <c r="F156" s="1" t="s">
        <v>20</v>
      </c>
      <c r="G156" s="1" t="s">
        <v>113</v>
      </c>
      <c r="H156" s="1" t="s">
        <v>22</v>
      </c>
      <c r="I156" s="33">
        <v>20.27</v>
      </c>
      <c r="J156" s="2">
        <v>5</v>
      </c>
      <c r="K156" s="33">
        <f t="shared" si="8"/>
        <v>101.35</v>
      </c>
      <c r="L156" s="3">
        <v>0</v>
      </c>
      <c r="M156" s="33">
        <f t="shared" si="9"/>
        <v>101.35</v>
      </c>
      <c r="N156" s="33">
        <v>47.55</v>
      </c>
      <c r="O156" s="33">
        <f t="shared" si="10"/>
        <v>53.8</v>
      </c>
      <c r="P156" s="4">
        <f t="shared" si="11"/>
        <v>0.53083374444992604</v>
      </c>
    </row>
    <row r="157" spans="1:16" x14ac:dyDescent="0.25">
      <c r="A157" s="5" t="s">
        <v>229</v>
      </c>
      <c r="B157" s="31">
        <v>44974</v>
      </c>
      <c r="C157" s="5" t="s">
        <v>43</v>
      </c>
      <c r="D157" s="5" t="s">
        <v>25</v>
      </c>
      <c r="E157" s="5" t="s">
        <v>19</v>
      </c>
      <c r="F157" s="5" t="s">
        <v>20</v>
      </c>
      <c r="G157" s="5" t="s">
        <v>37</v>
      </c>
      <c r="H157" s="5" t="s">
        <v>51</v>
      </c>
      <c r="I157" s="32">
        <v>7.19</v>
      </c>
      <c r="J157" s="6">
        <v>5</v>
      </c>
      <c r="K157" s="32">
        <f t="shared" si="8"/>
        <v>35.950000000000003</v>
      </c>
      <c r="L157" s="7">
        <v>0</v>
      </c>
      <c r="M157" s="32">
        <f t="shared" si="9"/>
        <v>35.950000000000003</v>
      </c>
      <c r="N157" s="32">
        <v>17.809999999999999</v>
      </c>
      <c r="O157" s="32">
        <f t="shared" si="10"/>
        <v>18.140000000000004</v>
      </c>
      <c r="P157" s="8">
        <f t="shared" si="11"/>
        <v>0.50458970792767743</v>
      </c>
    </row>
    <row r="158" spans="1:16" x14ac:dyDescent="0.25">
      <c r="A158" s="1" t="s">
        <v>230</v>
      </c>
      <c r="B158" s="30">
        <v>45285</v>
      </c>
      <c r="C158" s="1" t="s">
        <v>82</v>
      </c>
      <c r="D158" s="1" t="s">
        <v>18</v>
      </c>
      <c r="E158" s="1" t="s">
        <v>44</v>
      </c>
      <c r="F158" s="1" t="s">
        <v>66</v>
      </c>
      <c r="G158" s="1" t="s">
        <v>72</v>
      </c>
      <c r="H158" s="1" t="s">
        <v>56</v>
      </c>
      <c r="I158" s="33">
        <v>16.23</v>
      </c>
      <c r="J158" s="2">
        <v>24</v>
      </c>
      <c r="K158" s="33">
        <f t="shared" si="8"/>
        <v>389.52</v>
      </c>
      <c r="L158" s="3">
        <v>0.05</v>
      </c>
      <c r="M158" s="33">
        <f t="shared" si="9"/>
        <v>389.32524000000001</v>
      </c>
      <c r="N158" s="33">
        <v>269.74</v>
      </c>
      <c r="O158" s="33">
        <f t="shared" si="10"/>
        <v>119.58524</v>
      </c>
      <c r="P158" s="4">
        <f t="shared" si="11"/>
        <v>0.30716025500941063</v>
      </c>
    </row>
    <row r="159" spans="1:16" x14ac:dyDescent="0.25">
      <c r="A159" s="5" t="s">
        <v>231</v>
      </c>
      <c r="B159" s="31">
        <v>45209</v>
      </c>
      <c r="C159" s="5" t="s">
        <v>30</v>
      </c>
      <c r="D159" s="5" t="s">
        <v>18</v>
      </c>
      <c r="E159" s="5" t="s">
        <v>83</v>
      </c>
      <c r="F159" s="5" t="s">
        <v>26</v>
      </c>
      <c r="G159" s="5" t="s">
        <v>207</v>
      </c>
      <c r="H159" s="5" t="s">
        <v>22</v>
      </c>
      <c r="I159" s="32">
        <v>36.92</v>
      </c>
      <c r="J159" s="6">
        <v>26</v>
      </c>
      <c r="K159" s="32">
        <f t="shared" si="8"/>
        <v>959.92000000000007</v>
      </c>
      <c r="L159" s="7">
        <v>0.2</v>
      </c>
      <c r="M159" s="32">
        <f t="shared" si="9"/>
        <v>958.00016000000005</v>
      </c>
      <c r="N159" s="32">
        <v>648.82000000000005</v>
      </c>
      <c r="O159" s="32">
        <f t="shared" si="10"/>
        <v>309.18016</v>
      </c>
      <c r="P159" s="8">
        <f t="shared" si="11"/>
        <v>0.32273497741378249</v>
      </c>
    </row>
    <row r="160" spans="1:16" x14ac:dyDescent="0.25">
      <c r="A160" s="1" t="s">
        <v>232</v>
      </c>
      <c r="B160" s="30">
        <v>45028</v>
      </c>
      <c r="C160" s="1" t="s">
        <v>74</v>
      </c>
      <c r="D160" s="1" t="s">
        <v>49</v>
      </c>
      <c r="E160" s="1" t="s">
        <v>83</v>
      </c>
      <c r="F160" s="1" t="s">
        <v>66</v>
      </c>
      <c r="G160" s="1" t="s">
        <v>125</v>
      </c>
      <c r="H160" s="1" t="s">
        <v>56</v>
      </c>
      <c r="I160" s="33">
        <v>51.82</v>
      </c>
      <c r="J160" s="2">
        <v>14</v>
      </c>
      <c r="K160" s="33">
        <f t="shared" si="8"/>
        <v>725.48</v>
      </c>
      <c r="L160" s="3">
        <v>0</v>
      </c>
      <c r="M160" s="33">
        <f t="shared" si="9"/>
        <v>725.48</v>
      </c>
      <c r="N160" s="33">
        <v>474.58</v>
      </c>
      <c r="O160" s="33">
        <f t="shared" si="10"/>
        <v>250.90000000000003</v>
      </c>
      <c r="P160" s="4">
        <f t="shared" si="11"/>
        <v>0.34583999558912726</v>
      </c>
    </row>
    <row r="161" spans="1:16" x14ac:dyDescent="0.25">
      <c r="A161" s="5" t="s">
        <v>233</v>
      </c>
      <c r="B161" s="31">
        <v>45204</v>
      </c>
      <c r="C161" s="5" t="s">
        <v>30</v>
      </c>
      <c r="D161" s="5" t="s">
        <v>18</v>
      </c>
      <c r="E161" s="5" t="s">
        <v>36</v>
      </c>
      <c r="F161" s="5" t="s">
        <v>45</v>
      </c>
      <c r="G161" s="5" t="s">
        <v>46</v>
      </c>
      <c r="H161" s="5" t="s">
        <v>32</v>
      </c>
      <c r="I161" s="32">
        <v>58.86</v>
      </c>
      <c r="J161" s="6">
        <v>4</v>
      </c>
      <c r="K161" s="32">
        <f t="shared" si="8"/>
        <v>235.44</v>
      </c>
      <c r="L161" s="7">
        <v>0</v>
      </c>
      <c r="M161" s="32">
        <f t="shared" si="9"/>
        <v>235.44</v>
      </c>
      <c r="N161" s="32">
        <v>122.73</v>
      </c>
      <c r="O161" s="32">
        <f t="shared" si="10"/>
        <v>112.71</v>
      </c>
      <c r="P161" s="8">
        <f t="shared" si="11"/>
        <v>0.47872069317023441</v>
      </c>
    </row>
    <row r="162" spans="1:16" x14ac:dyDescent="0.25">
      <c r="A162" s="1" t="s">
        <v>234</v>
      </c>
      <c r="B162" s="30">
        <v>44994</v>
      </c>
      <c r="C162" s="1" t="s">
        <v>58</v>
      </c>
      <c r="D162" s="1" t="s">
        <v>25</v>
      </c>
      <c r="E162" s="1" t="s">
        <v>83</v>
      </c>
      <c r="F162" s="1" t="s">
        <v>40</v>
      </c>
      <c r="G162" s="1" t="s">
        <v>79</v>
      </c>
      <c r="H162" s="1" t="s">
        <v>56</v>
      </c>
      <c r="I162" s="33">
        <v>37.83</v>
      </c>
      <c r="J162" s="2">
        <v>30</v>
      </c>
      <c r="K162" s="33">
        <f t="shared" si="8"/>
        <v>1134.8999999999999</v>
      </c>
      <c r="L162" s="3">
        <v>0.05</v>
      </c>
      <c r="M162" s="33">
        <f t="shared" si="9"/>
        <v>1134.3325499999999</v>
      </c>
      <c r="N162" s="33">
        <v>742.51</v>
      </c>
      <c r="O162" s="33">
        <f t="shared" si="10"/>
        <v>391.82254999999986</v>
      </c>
      <c r="P162" s="4">
        <f t="shared" si="11"/>
        <v>0.34542123471639768</v>
      </c>
    </row>
    <row r="163" spans="1:16" x14ac:dyDescent="0.25">
      <c r="A163" s="5" t="s">
        <v>235</v>
      </c>
      <c r="B163" s="31">
        <v>45078</v>
      </c>
      <c r="C163" s="5" t="s">
        <v>48</v>
      </c>
      <c r="D163" s="5" t="s">
        <v>49</v>
      </c>
      <c r="E163" s="5" t="s">
        <v>83</v>
      </c>
      <c r="F163" s="5" t="s">
        <v>45</v>
      </c>
      <c r="G163" s="5" t="s">
        <v>46</v>
      </c>
      <c r="H163" s="5" t="s">
        <v>32</v>
      </c>
      <c r="I163" s="32">
        <v>50.89</v>
      </c>
      <c r="J163" s="6">
        <v>3</v>
      </c>
      <c r="K163" s="32">
        <f t="shared" si="8"/>
        <v>152.67000000000002</v>
      </c>
      <c r="L163" s="7">
        <v>0.1</v>
      </c>
      <c r="M163" s="32">
        <f t="shared" si="9"/>
        <v>152.51733000000002</v>
      </c>
      <c r="N163" s="32">
        <v>77.28</v>
      </c>
      <c r="O163" s="32">
        <f t="shared" si="10"/>
        <v>75.237330000000014</v>
      </c>
      <c r="P163" s="8">
        <f t="shared" si="11"/>
        <v>0.49330348229935578</v>
      </c>
    </row>
    <row r="164" spans="1:16" x14ac:dyDescent="0.25">
      <c r="A164" s="1" t="s">
        <v>236</v>
      </c>
      <c r="B164" s="30">
        <v>45081</v>
      </c>
      <c r="C164" s="1" t="s">
        <v>48</v>
      </c>
      <c r="D164" s="1" t="s">
        <v>49</v>
      </c>
      <c r="E164" s="1" t="s">
        <v>36</v>
      </c>
      <c r="F164" s="1" t="s">
        <v>26</v>
      </c>
      <c r="G164" s="1" t="s">
        <v>27</v>
      </c>
      <c r="H164" s="1" t="s">
        <v>28</v>
      </c>
      <c r="I164" s="33">
        <v>156.52000000000001</v>
      </c>
      <c r="J164" s="2">
        <v>27</v>
      </c>
      <c r="K164" s="33">
        <f t="shared" si="8"/>
        <v>4226.04</v>
      </c>
      <c r="L164" s="3">
        <v>0.2</v>
      </c>
      <c r="M164" s="33">
        <f t="shared" si="9"/>
        <v>4217.5879199999999</v>
      </c>
      <c r="N164" s="33">
        <v>2637.06</v>
      </c>
      <c r="O164" s="33">
        <f t="shared" si="10"/>
        <v>1580.52792</v>
      </c>
      <c r="P164" s="4">
        <f t="shared" si="11"/>
        <v>0.37474688138807077</v>
      </c>
    </row>
    <row r="165" spans="1:16" x14ac:dyDescent="0.25">
      <c r="A165" s="5" t="s">
        <v>237</v>
      </c>
      <c r="B165" s="31">
        <v>45010</v>
      </c>
      <c r="C165" s="5" t="s">
        <v>58</v>
      </c>
      <c r="D165" s="5" t="s">
        <v>25</v>
      </c>
      <c r="E165" s="5" t="s">
        <v>83</v>
      </c>
      <c r="F165" s="5" t="s">
        <v>66</v>
      </c>
      <c r="G165" s="5" t="s">
        <v>77</v>
      </c>
      <c r="H165" s="5" t="s">
        <v>28</v>
      </c>
      <c r="I165" s="32">
        <v>24.35</v>
      </c>
      <c r="J165" s="6">
        <v>1</v>
      </c>
      <c r="K165" s="32">
        <f t="shared" si="8"/>
        <v>24.35</v>
      </c>
      <c r="L165" s="7">
        <v>0.05</v>
      </c>
      <c r="M165" s="32">
        <f t="shared" si="9"/>
        <v>24.337825000000002</v>
      </c>
      <c r="N165" s="32">
        <v>12.27</v>
      </c>
      <c r="O165" s="32">
        <f t="shared" si="10"/>
        <v>12.067825000000003</v>
      </c>
      <c r="P165" s="8">
        <f t="shared" si="11"/>
        <v>0.49584648587127245</v>
      </c>
    </row>
    <row r="166" spans="1:16" x14ac:dyDescent="0.25">
      <c r="A166" s="1" t="s">
        <v>238</v>
      </c>
      <c r="B166" s="30">
        <v>45003</v>
      </c>
      <c r="C166" s="1" t="s">
        <v>58</v>
      </c>
      <c r="D166" s="1" t="s">
        <v>25</v>
      </c>
      <c r="E166" s="1" t="s">
        <v>83</v>
      </c>
      <c r="F166" s="1" t="s">
        <v>45</v>
      </c>
      <c r="G166" s="1" t="s">
        <v>105</v>
      </c>
      <c r="H166" s="1" t="s">
        <v>22</v>
      </c>
      <c r="I166" s="33">
        <v>31.52</v>
      </c>
      <c r="J166" s="2">
        <v>2</v>
      </c>
      <c r="K166" s="33">
        <f t="shared" si="8"/>
        <v>63.04</v>
      </c>
      <c r="L166" s="3">
        <v>0.05</v>
      </c>
      <c r="M166" s="33">
        <f t="shared" si="9"/>
        <v>63.008480000000006</v>
      </c>
      <c r="N166" s="33">
        <v>34.979999999999997</v>
      </c>
      <c r="O166" s="33">
        <f t="shared" si="10"/>
        <v>28.028480000000009</v>
      </c>
      <c r="P166" s="4">
        <f t="shared" si="11"/>
        <v>0.44483663151372649</v>
      </c>
    </row>
    <row r="167" spans="1:16" x14ac:dyDescent="0.25">
      <c r="A167" s="5" t="s">
        <v>239</v>
      </c>
      <c r="B167" s="31">
        <v>45214</v>
      </c>
      <c r="C167" s="5" t="s">
        <v>30</v>
      </c>
      <c r="D167" s="5" t="s">
        <v>18</v>
      </c>
      <c r="E167" s="5" t="s">
        <v>19</v>
      </c>
      <c r="F167" s="5" t="s">
        <v>45</v>
      </c>
      <c r="G167" s="5" t="s">
        <v>46</v>
      </c>
      <c r="H167" s="5" t="s">
        <v>28</v>
      </c>
      <c r="I167" s="32">
        <v>60.8</v>
      </c>
      <c r="J167" s="6">
        <v>19</v>
      </c>
      <c r="K167" s="32">
        <f t="shared" si="8"/>
        <v>1155.2</v>
      </c>
      <c r="L167" s="7">
        <v>0.05</v>
      </c>
      <c r="M167" s="32">
        <f t="shared" si="9"/>
        <v>1154.6224000000002</v>
      </c>
      <c r="N167" s="32">
        <v>727.34</v>
      </c>
      <c r="O167" s="32">
        <f t="shared" si="10"/>
        <v>427.28240000000017</v>
      </c>
      <c r="P167" s="8">
        <f t="shared" si="11"/>
        <v>0.37006245505023988</v>
      </c>
    </row>
    <row r="168" spans="1:16" x14ac:dyDescent="0.25">
      <c r="A168" s="1" t="s">
        <v>240</v>
      </c>
      <c r="B168" s="30">
        <v>45060</v>
      </c>
      <c r="C168" s="1" t="s">
        <v>53</v>
      </c>
      <c r="D168" s="1" t="s">
        <v>49</v>
      </c>
      <c r="E168" s="1" t="s">
        <v>19</v>
      </c>
      <c r="F168" s="1" t="s">
        <v>40</v>
      </c>
      <c r="G168" s="1" t="s">
        <v>41</v>
      </c>
      <c r="H168" s="1" t="s">
        <v>22</v>
      </c>
      <c r="I168" s="33">
        <v>65.19</v>
      </c>
      <c r="J168" s="2">
        <v>6</v>
      </c>
      <c r="K168" s="33">
        <f t="shared" si="8"/>
        <v>391.14</v>
      </c>
      <c r="L168" s="3">
        <v>0</v>
      </c>
      <c r="M168" s="33">
        <f t="shared" si="9"/>
        <v>391.14</v>
      </c>
      <c r="N168" s="33">
        <v>227.21</v>
      </c>
      <c r="O168" s="33">
        <f t="shared" si="10"/>
        <v>163.92999999999998</v>
      </c>
      <c r="P168" s="4">
        <f t="shared" si="11"/>
        <v>0.41910824768625038</v>
      </c>
    </row>
    <row r="169" spans="1:16" x14ac:dyDescent="0.25">
      <c r="A169" s="5" t="s">
        <v>241</v>
      </c>
      <c r="B169" s="31">
        <v>45080</v>
      </c>
      <c r="C169" s="5" t="s">
        <v>48</v>
      </c>
      <c r="D169" s="5" t="s">
        <v>49</v>
      </c>
      <c r="E169" s="5" t="s">
        <v>19</v>
      </c>
      <c r="F169" s="5" t="s">
        <v>66</v>
      </c>
      <c r="G169" s="5" t="s">
        <v>116</v>
      </c>
      <c r="H169" s="5" t="s">
        <v>28</v>
      </c>
      <c r="I169" s="32">
        <v>85.25</v>
      </c>
      <c r="J169" s="6">
        <v>12</v>
      </c>
      <c r="K169" s="32">
        <f t="shared" si="8"/>
        <v>1023</v>
      </c>
      <c r="L169" s="7">
        <v>0.05</v>
      </c>
      <c r="M169" s="32">
        <f t="shared" si="9"/>
        <v>1022.4885</v>
      </c>
      <c r="N169" s="32">
        <v>651.46</v>
      </c>
      <c r="O169" s="32">
        <f t="shared" si="10"/>
        <v>371.02850000000001</v>
      </c>
      <c r="P169" s="8">
        <f t="shared" si="11"/>
        <v>0.36286813983726957</v>
      </c>
    </row>
    <row r="170" spans="1:16" x14ac:dyDescent="0.25">
      <c r="A170" s="1" t="s">
        <v>242</v>
      </c>
      <c r="B170" s="30">
        <v>45103</v>
      </c>
      <c r="C170" s="1" t="s">
        <v>48</v>
      </c>
      <c r="D170" s="1" t="s">
        <v>49</v>
      </c>
      <c r="E170" s="1" t="s">
        <v>19</v>
      </c>
      <c r="F170" s="1" t="s">
        <v>20</v>
      </c>
      <c r="G170" s="1" t="s">
        <v>21</v>
      </c>
      <c r="H170" s="1" t="s">
        <v>64</v>
      </c>
      <c r="I170" s="33">
        <v>6.43</v>
      </c>
      <c r="J170" s="2">
        <v>24</v>
      </c>
      <c r="K170" s="33">
        <f t="shared" si="8"/>
        <v>154.32</v>
      </c>
      <c r="L170" s="3">
        <v>0.1</v>
      </c>
      <c r="M170" s="33">
        <f t="shared" si="9"/>
        <v>154.16567999999998</v>
      </c>
      <c r="N170" s="33">
        <v>74.58</v>
      </c>
      <c r="O170" s="33">
        <f t="shared" si="10"/>
        <v>79.585679999999982</v>
      </c>
      <c r="P170" s="4">
        <f t="shared" si="11"/>
        <v>0.51623474174018491</v>
      </c>
    </row>
    <row r="171" spans="1:16" x14ac:dyDescent="0.25">
      <c r="A171" s="5" t="s">
        <v>243</v>
      </c>
      <c r="B171" s="31">
        <v>45095</v>
      </c>
      <c r="C171" s="5" t="s">
        <v>48</v>
      </c>
      <c r="D171" s="5" t="s">
        <v>49</v>
      </c>
      <c r="E171" s="5" t="s">
        <v>36</v>
      </c>
      <c r="F171" s="5" t="s">
        <v>26</v>
      </c>
      <c r="G171" s="5" t="s">
        <v>31</v>
      </c>
      <c r="H171" s="5" t="s">
        <v>68</v>
      </c>
      <c r="I171" s="32">
        <v>243.17</v>
      </c>
      <c r="J171" s="6">
        <v>26</v>
      </c>
      <c r="K171" s="32">
        <f t="shared" si="8"/>
        <v>6322.42</v>
      </c>
      <c r="L171" s="7">
        <v>0</v>
      </c>
      <c r="M171" s="32">
        <f t="shared" si="9"/>
        <v>6322.42</v>
      </c>
      <c r="N171" s="32">
        <v>2944.87</v>
      </c>
      <c r="O171" s="32">
        <f t="shared" si="10"/>
        <v>3377.55</v>
      </c>
      <c r="P171" s="8">
        <f t="shared" si="11"/>
        <v>0.5342179102305763</v>
      </c>
    </row>
    <row r="172" spans="1:16" x14ac:dyDescent="0.25">
      <c r="A172" s="1" t="s">
        <v>244</v>
      </c>
      <c r="B172" s="30">
        <v>45140</v>
      </c>
      <c r="C172" s="1" t="s">
        <v>62</v>
      </c>
      <c r="D172" s="1" t="s">
        <v>35</v>
      </c>
      <c r="E172" s="1" t="s">
        <v>36</v>
      </c>
      <c r="F172" s="1" t="s">
        <v>26</v>
      </c>
      <c r="G172" s="1" t="s">
        <v>120</v>
      </c>
      <c r="H172" s="1" t="s">
        <v>22</v>
      </c>
      <c r="I172" s="33">
        <v>241.72</v>
      </c>
      <c r="J172" s="2">
        <v>11</v>
      </c>
      <c r="K172" s="33">
        <f t="shared" si="8"/>
        <v>2658.92</v>
      </c>
      <c r="L172" s="3">
        <v>0.05</v>
      </c>
      <c r="M172" s="33">
        <f t="shared" si="9"/>
        <v>2657.5905400000001</v>
      </c>
      <c r="N172" s="33">
        <v>1539.11</v>
      </c>
      <c r="O172" s="33">
        <f t="shared" si="10"/>
        <v>1118.4805400000002</v>
      </c>
      <c r="P172" s="4">
        <f t="shared" si="11"/>
        <v>0.42086262844689393</v>
      </c>
    </row>
    <row r="173" spans="1:16" x14ac:dyDescent="0.25">
      <c r="A173" s="5" t="s">
        <v>245</v>
      </c>
      <c r="B173" s="31">
        <v>45185</v>
      </c>
      <c r="C173" s="5" t="s">
        <v>71</v>
      </c>
      <c r="D173" s="5" t="s">
        <v>35</v>
      </c>
      <c r="E173" s="5" t="s">
        <v>36</v>
      </c>
      <c r="F173" s="5" t="s">
        <v>45</v>
      </c>
      <c r="G173" s="5" t="s">
        <v>155</v>
      </c>
      <c r="H173" s="5" t="s">
        <v>38</v>
      </c>
      <c r="I173" s="32">
        <v>129.41999999999999</v>
      </c>
      <c r="J173" s="6">
        <v>25</v>
      </c>
      <c r="K173" s="32">
        <f t="shared" si="8"/>
        <v>3235.4999999999995</v>
      </c>
      <c r="L173" s="7">
        <v>0</v>
      </c>
      <c r="M173" s="32">
        <f t="shared" si="9"/>
        <v>3235.4999999999995</v>
      </c>
      <c r="N173" s="32">
        <v>2156.27</v>
      </c>
      <c r="O173" s="32">
        <f t="shared" si="10"/>
        <v>1079.2299999999996</v>
      </c>
      <c r="P173" s="8">
        <f t="shared" si="11"/>
        <v>0.3335589553392056</v>
      </c>
    </row>
    <row r="174" spans="1:16" x14ac:dyDescent="0.25">
      <c r="A174" s="1" t="s">
        <v>246</v>
      </c>
      <c r="B174" s="30">
        <v>45086</v>
      </c>
      <c r="C174" s="1" t="s">
        <v>48</v>
      </c>
      <c r="D174" s="1" t="s">
        <v>49</v>
      </c>
      <c r="E174" s="1" t="s">
        <v>19</v>
      </c>
      <c r="F174" s="1" t="s">
        <v>20</v>
      </c>
      <c r="G174" s="1" t="s">
        <v>113</v>
      </c>
      <c r="H174" s="1" t="s">
        <v>56</v>
      </c>
      <c r="I174" s="33">
        <v>25.43</v>
      </c>
      <c r="J174" s="2">
        <v>29</v>
      </c>
      <c r="K174" s="33">
        <f t="shared" si="8"/>
        <v>737.47</v>
      </c>
      <c r="L174" s="3">
        <v>0.15</v>
      </c>
      <c r="M174" s="33">
        <f t="shared" si="9"/>
        <v>736.3637950000001</v>
      </c>
      <c r="N174" s="33">
        <v>394.42</v>
      </c>
      <c r="O174" s="33">
        <f t="shared" si="10"/>
        <v>341.94379500000008</v>
      </c>
      <c r="P174" s="4">
        <f t="shared" si="11"/>
        <v>0.46436801662689031</v>
      </c>
    </row>
    <row r="175" spans="1:16" x14ac:dyDescent="0.25">
      <c r="A175" s="5" t="s">
        <v>247</v>
      </c>
      <c r="B175" s="31">
        <v>45001</v>
      </c>
      <c r="C175" s="5" t="s">
        <v>58</v>
      </c>
      <c r="D175" s="5" t="s">
        <v>25</v>
      </c>
      <c r="E175" s="5" t="s">
        <v>83</v>
      </c>
      <c r="F175" s="5" t="s">
        <v>20</v>
      </c>
      <c r="G175" s="5" t="s">
        <v>37</v>
      </c>
      <c r="H175" s="5" t="s">
        <v>38</v>
      </c>
      <c r="I175" s="32">
        <v>7.8</v>
      </c>
      <c r="J175" s="6">
        <v>24</v>
      </c>
      <c r="K175" s="32">
        <f t="shared" si="8"/>
        <v>187.2</v>
      </c>
      <c r="L175" s="7">
        <v>0.15</v>
      </c>
      <c r="M175" s="32">
        <f t="shared" si="9"/>
        <v>186.91919999999999</v>
      </c>
      <c r="N175" s="32">
        <v>87.97</v>
      </c>
      <c r="O175" s="32">
        <f t="shared" si="10"/>
        <v>98.94919999999999</v>
      </c>
      <c r="P175" s="8">
        <f t="shared" si="11"/>
        <v>0.52936883958416259</v>
      </c>
    </row>
    <row r="176" spans="1:16" x14ac:dyDescent="0.25">
      <c r="A176" s="1" t="s">
        <v>248</v>
      </c>
      <c r="B176" s="30">
        <v>45226</v>
      </c>
      <c r="C176" s="1" t="s">
        <v>30</v>
      </c>
      <c r="D176" s="1" t="s">
        <v>18</v>
      </c>
      <c r="E176" s="1" t="s">
        <v>44</v>
      </c>
      <c r="F176" s="1" t="s">
        <v>40</v>
      </c>
      <c r="G176" s="1" t="s">
        <v>41</v>
      </c>
      <c r="H176" s="1" t="s">
        <v>32</v>
      </c>
      <c r="I176" s="33">
        <v>52.32</v>
      </c>
      <c r="J176" s="2">
        <v>11</v>
      </c>
      <c r="K176" s="33">
        <f t="shared" si="8"/>
        <v>575.52</v>
      </c>
      <c r="L176" s="3">
        <v>0.05</v>
      </c>
      <c r="M176" s="33">
        <f t="shared" si="9"/>
        <v>575.23224000000005</v>
      </c>
      <c r="N176" s="33">
        <v>303.08999999999997</v>
      </c>
      <c r="O176" s="33">
        <f t="shared" si="10"/>
        <v>272.14224000000007</v>
      </c>
      <c r="P176" s="4">
        <f t="shared" si="11"/>
        <v>0.47309976923407498</v>
      </c>
    </row>
    <row r="177" spans="1:16" x14ac:dyDescent="0.25">
      <c r="A177" s="5" t="s">
        <v>249</v>
      </c>
      <c r="B177" s="31">
        <v>45222</v>
      </c>
      <c r="C177" s="5" t="s">
        <v>30</v>
      </c>
      <c r="D177" s="5" t="s">
        <v>18</v>
      </c>
      <c r="E177" s="5" t="s">
        <v>83</v>
      </c>
      <c r="F177" s="5" t="s">
        <v>26</v>
      </c>
      <c r="G177" s="5" t="s">
        <v>31</v>
      </c>
      <c r="H177" s="5" t="s">
        <v>32</v>
      </c>
      <c r="I177" s="32">
        <v>224.71</v>
      </c>
      <c r="J177" s="6">
        <v>24</v>
      </c>
      <c r="K177" s="32">
        <f t="shared" si="8"/>
        <v>5393.04</v>
      </c>
      <c r="L177" s="7">
        <v>0.1</v>
      </c>
      <c r="M177" s="32">
        <f t="shared" si="9"/>
        <v>5387.64696</v>
      </c>
      <c r="N177" s="32">
        <v>3255.89</v>
      </c>
      <c r="O177" s="32">
        <f t="shared" si="10"/>
        <v>2131.7569600000002</v>
      </c>
      <c r="P177" s="8">
        <f t="shared" si="11"/>
        <v>0.39567495343087589</v>
      </c>
    </row>
    <row r="178" spans="1:16" x14ac:dyDescent="0.25">
      <c r="A178" s="1" t="s">
        <v>250</v>
      </c>
      <c r="B178" s="30">
        <v>45116</v>
      </c>
      <c r="C178" s="1" t="s">
        <v>34</v>
      </c>
      <c r="D178" s="1" t="s">
        <v>35</v>
      </c>
      <c r="E178" s="1" t="s">
        <v>19</v>
      </c>
      <c r="F178" s="1" t="s">
        <v>45</v>
      </c>
      <c r="G178" s="1" t="s">
        <v>46</v>
      </c>
      <c r="H178" s="1" t="s">
        <v>32</v>
      </c>
      <c r="I178" s="33">
        <v>57.83</v>
      </c>
      <c r="J178" s="2">
        <v>24</v>
      </c>
      <c r="K178" s="33">
        <f t="shared" si="8"/>
        <v>1387.92</v>
      </c>
      <c r="L178" s="3">
        <v>0</v>
      </c>
      <c r="M178" s="33">
        <f t="shared" si="9"/>
        <v>1387.92</v>
      </c>
      <c r="N178" s="33">
        <v>955.12</v>
      </c>
      <c r="O178" s="33">
        <f t="shared" si="10"/>
        <v>432.80000000000007</v>
      </c>
      <c r="P178" s="4">
        <f t="shared" si="11"/>
        <v>0.31183353507406769</v>
      </c>
    </row>
    <row r="179" spans="1:16" x14ac:dyDescent="0.25">
      <c r="A179" s="5" t="s">
        <v>251</v>
      </c>
      <c r="B179" s="31">
        <v>45013</v>
      </c>
      <c r="C179" s="5" t="s">
        <v>58</v>
      </c>
      <c r="D179" s="5" t="s">
        <v>25</v>
      </c>
      <c r="E179" s="5" t="s">
        <v>83</v>
      </c>
      <c r="F179" s="5" t="s">
        <v>45</v>
      </c>
      <c r="G179" s="5" t="s">
        <v>155</v>
      </c>
      <c r="H179" s="5" t="s">
        <v>64</v>
      </c>
      <c r="I179" s="32">
        <v>122.16</v>
      </c>
      <c r="J179" s="6">
        <v>21</v>
      </c>
      <c r="K179" s="32">
        <f t="shared" si="8"/>
        <v>2565.36</v>
      </c>
      <c r="L179" s="7">
        <v>0.1</v>
      </c>
      <c r="M179" s="32">
        <f t="shared" si="9"/>
        <v>2562.7946400000001</v>
      </c>
      <c r="N179" s="32">
        <v>1386.67</v>
      </c>
      <c r="O179" s="32">
        <f t="shared" si="10"/>
        <v>1176.12464</v>
      </c>
      <c r="P179" s="8">
        <f t="shared" si="11"/>
        <v>0.45892270166446109</v>
      </c>
    </row>
    <row r="180" spans="1:16" x14ac:dyDescent="0.25">
      <c r="A180" s="1" t="s">
        <v>252</v>
      </c>
      <c r="B180" s="30">
        <v>45201</v>
      </c>
      <c r="C180" s="1" t="s">
        <v>30</v>
      </c>
      <c r="D180" s="1" t="s">
        <v>18</v>
      </c>
      <c r="E180" s="1" t="s">
        <v>44</v>
      </c>
      <c r="F180" s="1" t="s">
        <v>66</v>
      </c>
      <c r="G180" s="1" t="s">
        <v>125</v>
      </c>
      <c r="H180" s="1" t="s">
        <v>32</v>
      </c>
      <c r="I180" s="33">
        <v>50.49</v>
      </c>
      <c r="J180" s="2">
        <v>3</v>
      </c>
      <c r="K180" s="33">
        <f t="shared" si="8"/>
        <v>151.47</v>
      </c>
      <c r="L180" s="3">
        <v>0</v>
      </c>
      <c r="M180" s="33">
        <f t="shared" si="9"/>
        <v>151.47</v>
      </c>
      <c r="N180" s="33">
        <v>88.21</v>
      </c>
      <c r="O180" s="33">
        <f t="shared" si="10"/>
        <v>63.260000000000005</v>
      </c>
      <c r="P180" s="4">
        <f t="shared" si="11"/>
        <v>0.41764045685614315</v>
      </c>
    </row>
    <row r="181" spans="1:16" x14ac:dyDescent="0.25">
      <c r="A181" s="5" t="s">
        <v>253</v>
      </c>
      <c r="B181" s="31">
        <v>45118</v>
      </c>
      <c r="C181" s="5" t="s">
        <v>34</v>
      </c>
      <c r="D181" s="5" t="s">
        <v>35</v>
      </c>
      <c r="E181" s="5" t="s">
        <v>36</v>
      </c>
      <c r="F181" s="5" t="s">
        <v>26</v>
      </c>
      <c r="G181" s="5" t="s">
        <v>120</v>
      </c>
      <c r="H181" s="5" t="s">
        <v>28</v>
      </c>
      <c r="I181" s="32">
        <v>228.21</v>
      </c>
      <c r="J181" s="6">
        <v>16</v>
      </c>
      <c r="K181" s="32">
        <f t="shared" si="8"/>
        <v>3651.36</v>
      </c>
      <c r="L181" s="7">
        <v>0.15</v>
      </c>
      <c r="M181" s="32">
        <f t="shared" si="9"/>
        <v>3645.8829600000004</v>
      </c>
      <c r="N181" s="32">
        <v>2477.04</v>
      </c>
      <c r="O181" s="32">
        <f t="shared" si="10"/>
        <v>1168.8429600000004</v>
      </c>
      <c r="P181" s="8">
        <f t="shared" si="11"/>
        <v>0.32059256230210975</v>
      </c>
    </row>
    <row r="182" spans="1:16" x14ac:dyDescent="0.25">
      <c r="A182" s="1" t="s">
        <v>254</v>
      </c>
      <c r="B182" s="30">
        <v>44966</v>
      </c>
      <c r="C182" s="1" t="s">
        <v>43</v>
      </c>
      <c r="D182" s="1" t="s">
        <v>25</v>
      </c>
      <c r="E182" s="1" t="s">
        <v>36</v>
      </c>
      <c r="F182" s="1" t="s">
        <v>66</v>
      </c>
      <c r="G182" s="1" t="s">
        <v>67</v>
      </c>
      <c r="H182" s="1" t="s">
        <v>38</v>
      </c>
      <c r="I182" s="33">
        <v>74.819999999999993</v>
      </c>
      <c r="J182" s="2">
        <v>16</v>
      </c>
      <c r="K182" s="33">
        <f t="shared" si="8"/>
        <v>1197.1199999999999</v>
      </c>
      <c r="L182" s="3">
        <v>0.05</v>
      </c>
      <c r="M182" s="33">
        <f t="shared" si="9"/>
        <v>1196.52144</v>
      </c>
      <c r="N182" s="33">
        <v>575.4</v>
      </c>
      <c r="O182" s="33">
        <f t="shared" si="10"/>
        <v>621.12144000000001</v>
      </c>
      <c r="P182" s="4">
        <f t="shared" si="11"/>
        <v>0.51910598442765887</v>
      </c>
    </row>
    <row r="183" spans="1:16" x14ac:dyDescent="0.25">
      <c r="A183" s="5" t="s">
        <v>255</v>
      </c>
      <c r="B183" s="31">
        <v>44972</v>
      </c>
      <c r="C183" s="5" t="s">
        <v>43</v>
      </c>
      <c r="D183" s="5" t="s">
        <v>25</v>
      </c>
      <c r="E183" s="5" t="s">
        <v>44</v>
      </c>
      <c r="F183" s="5" t="s">
        <v>66</v>
      </c>
      <c r="G183" s="5" t="s">
        <v>72</v>
      </c>
      <c r="H183" s="5" t="s">
        <v>32</v>
      </c>
      <c r="I183" s="32">
        <v>18.510000000000002</v>
      </c>
      <c r="J183" s="6">
        <v>23</v>
      </c>
      <c r="K183" s="32">
        <f t="shared" si="8"/>
        <v>425.73</v>
      </c>
      <c r="L183" s="7">
        <v>0</v>
      </c>
      <c r="M183" s="32">
        <f t="shared" si="9"/>
        <v>425.73</v>
      </c>
      <c r="N183" s="32">
        <v>250.1</v>
      </c>
      <c r="O183" s="32">
        <f t="shared" si="10"/>
        <v>175.63000000000002</v>
      </c>
      <c r="P183" s="8">
        <f t="shared" si="11"/>
        <v>0.4125384633453128</v>
      </c>
    </row>
    <row r="184" spans="1:16" x14ac:dyDescent="0.25">
      <c r="A184" s="1" t="s">
        <v>256</v>
      </c>
      <c r="B184" s="30">
        <v>45056</v>
      </c>
      <c r="C184" s="1" t="s">
        <v>53</v>
      </c>
      <c r="D184" s="1" t="s">
        <v>49</v>
      </c>
      <c r="E184" s="1" t="s">
        <v>44</v>
      </c>
      <c r="F184" s="1" t="s">
        <v>26</v>
      </c>
      <c r="G184" s="1" t="s">
        <v>94</v>
      </c>
      <c r="H184" s="1" t="s">
        <v>22</v>
      </c>
      <c r="I184" s="33">
        <v>86.46</v>
      </c>
      <c r="J184" s="2">
        <v>7</v>
      </c>
      <c r="K184" s="33">
        <f t="shared" si="8"/>
        <v>605.21999999999991</v>
      </c>
      <c r="L184" s="3">
        <v>0</v>
      </c>
      <c r="M184" s="33">
        <f t="shared" si="9"/>
        <v>605.21999999999991</v>
      </c>
      <c r="N184" s="33">
        <v>308.17</v>
      </c>
      <c r="O184" s="33">
        <f t="shared" si="10"/>
        <v>297.0499999999999</v>
      </c>
      <c r="P184" s="4">
        <f t="shared" si="11"/>
        <v>0.49081325798883041</v>
      </c>
    </row>
    <row r="185" spans="1:16" x14ac:dyDescent="0.25">
      <c r="A185" s="5" t="s">
        <v>257</v>
      </c>
      <c r="B185" s="31">
        <v>45139</v>
      </c>
      <c r="C185" s="5" t="s">
        <v>62</v>
      </c>
      <c r="D185" s="5" t="s">
        <v>35</v>
      </c>
      <c r="E185" s="5" t="s">
        <v>36</v>
      </c>
      <c r="F185" s="5" t="s">
        <v>40</v>
      </c>
      <c r="G185" s="5" t="s">
        <v>96</v>
      </c>
      <c r="H185" s="5" t="s">
        <v>32</v>
      </c>
      <c r="I185" s="32">
        <v>13.6</v>
      </c>
      <c r="J185" s="6">
        <v>18</v>
      </c>
      <c r="K185" s="32">
        <f t="shared" si="8"/>
        <v>244.79999999999998</v>
      </c>
      <c r="L185" s="7">
        <v>0</v>
      </c>
      <c r="M185" s="32">
        <f t="shared" si="9"/>
        <v>244.79999999999998</v>
      </c>
      <c r="N185" s="32">
        <v>147.66</v>
      </c>
      <c r="O185" s="32">
        <f t="shared" si="10"/>
        <v>97.139999999999986</v>
      </c>
      <c r="P185" s="8">
        <f t="shared" si="11"/>
        <v>0.39681372549019606</v>
      </c>
    </row>
    <row r="186" spans="1:16" x14ac:dyDescent="0.25">
      <c r="A186" s="1" t="s">
        <v>258</v>
      </c>
      <c r="B186" s="30">
        <v>44960</v>
      </c>
      <c r="C186" s="1" t="s">
        <v>43</v>
      </c>
      <c r="D186" s="1" t="s">
        <v>25</v>
      </c>
      <c r="E186" s="1" t="s">
        <v>36</v>
      </c>
      <c r="F186" s="1" t="s">
        <v>66</v>
      </c>
      <c r="G186" s="1" t="s">
        <v>116</v>
      </c>
      <c r="H186" s="1" t="s">
        <v>56</v>
      </c>
      <c r="I186" s="33">
        <v>89.92</v>
      </c>
      <c r="J186" s="2">
        <v>27</v>
      </c>
      <c r="K186" s="33">
        <f t="shared" si="8"/>
        <v>2427.84</v>
      </c>
      <c r="L186" s="3">
        <v>0</v>
      </c>
      <c r="M186" s="33">
        <f t="shared" si="9"/>
        <v>2427.84</v>
      </c>
      <c r="N186" s="33">
        <v>1168.6099999999999</v>
      </c>
      <c r="O186" s="33">
        <f t="shared" si="10"/>
        <v>1259.2300000000002</v>
      </c>
      <c r="P186" s="4">
        <f t="shared" si="11"/>
        <v>0.51866267958349821</v>
      </c>
    </row>
    <row r="187" spans="1:16" x14ac:dyDescent="0.25">
      <c r="A187" s="5" t="s">
        <v>259</v>
      </c>
      <c r="B187" s="31">
        <v>45098</v>
      </c>
      <c r="C187" s="5" t="s">
        <v>48</v>
      </c>
      <c r="D187" s="5" t="s">
        <v>49</v>
      </c>
      <c r="E187" s="5" t="s">
        <v>19</v>
      </c>
      <c r="F187" s="5" t="s">
        <v>66</v>
      </c>
      <c r="G187" s="5" t="s">
        <v>116</v>
      </c>
      <c r="H187" s="5" t="s">
        <v>32</v>
      </c>
      <c r="I187" s="32">
        <v>67.489999999999995</v>
      </c>
      <c r="J187" s="6">
        <v>27</v>
      </c>
      <c r="K187" s="32">
        <f t="shared" si="8"/>
        <v>1822.2299999999998</v>
      </c>
      <c r="L187" s="7">
        <v>0</v>
      </c>
      <c r="M187" s="32">
        <f t="shared" si="9"/>
        <v>1822.2299999999998</v>
      </c>
      <c r="N187" s="32">
        <v>1169.8</v>
      </c>
      <c r="O187" s="32">
        <f t="shared" si="10"/>
        <v>652.42999999999984</v>
      </c>
      <c r="P187" s="8">
        <f t="shared" si="11"/>
        <v>0.35803932544190353</v>
      </c>
    </row>
    <row r="188" spans="1:16" x14ac:dyDescent="0.25">
      <c r="A188" s="1" t="s">
        <v>260</v>
      </c>
      <c r="B188" s="30">
        <v>44999</v>
      </c>
      <c r="C188" s="1" t="s">
        <v>58</v>
      </c>
      <c r="D188" s="1" t="s">
        <v>25</v>
      </c>
      <c r="E188" s="1" t="s">
        <v>19</v>
      </c>
      <c r="F188" s="1" t="s">
        <v>45</v>
      </c>
      <c r="G188" s="1" t="s">
        <v>50</v>
      </c>
      <c r="H188" s="1" t="s">
        <v>51</v>
      </c>
      <c r="I188" s="33">
        <v>42.08</v>
      </c>
      <c r="J188" s="2">
        <v>6</v>
      </c>
      <c r="K188" s="33">
        <f t="shared" si="8"/>
        <v>252.48</v>
      </c>
      <c r="L188" s="3">
        <v>0.1</v>
      </c>
      <c r="M188" s="33">
        <f t="shared" si="9"/>
        <v>252.22752</v>
      </c>
      <c r="N188" s="33">
        <v>172.63</v>
      </c>
      <c r="O188" s="33">
        <f t="shared" si="10"/>
        <v>79.597520000000003</v>
      </c>
      <c r="P188" s="4">
        <f t="shared" si="11"/>
        <v>0.31557825252375316</v>
      </c>
    </row>
    <row r="189" spans="1:16" x14ac:dyDescent="0.25">
      <c r="A189" s="5" t="s">
        <v>261</v>
      </c>
      <c r="B189" s="31">
        <v>45028</v>
      </c>
      <c r="C189" s="5" t="s">
        <v>74</v>
      </c>
      <c r="D189" s="5" t="s">
        <v>49</v>
      </c>
      <c r="E189" s="5" t="s">
        <v>36</v>
      </c>
      <c r="F189" s="5" t="s">
        <v>45</v>
      </c>
      <c r="G189" s="5" t="s">
        <v>105</v>
      </c>
      <c r="H189" s="5" t="s">
        <v>22</v>
      </c>
      <c r="I189" s="32">
        <v>36.53</v>
      </c>
      <c r="J189" s="6">
        <v>18</v>
      </c>
      <c r="K189" s="32">
        <f t="shared" si="8"/>
        <v>657.54</v>
      </c>
      <c r="L189" s="7">
        <v>0.05</v>
      </c>
      <c r="M189" s="32">
        <f t="shared" si="9"/>
        <v>657.21123</v>
      </c>
      <c r="N189" s="32">
        <v>316.43</v>
      </c>
      <c r="O189" s="32">
        <f t="shared" si="10"/>
        <v>340.78122999999999</v>
      </c>
      <c r="P189" s="8">
        <f t="shared" si="11"/>
        <v>0.5185261822138979</v>
      </c>
    </row>
    <row r="190" spans="1:16" x14ac:dyDescent="0.25">
      <c r="A190" s="1" t="s">
        <v>262</v>
      </c>
      <c r="B190" s="30">
        <v>45066</v>
      </c>
      <c r="C190" s="1" t="s">
        <v>53</v>
      </c>
      <c r="D190" s="1" t="s">
        <v>49</v>
      </c>
      <c r="E190" s="1" t="s">
        <v>19</v>
      </c>
      <c r="F190" s="1" t="s">
        <v>40</v>
      </c>
      <c r="G190" s="1" t="s">
        <v>79</v>
      </c>
      <c r="H190" s="1" t="s">
        <v>51</v>
      </c>
      <c r="I190" s="33">
        <v>39.42</v>
      </c>
      <c r="J190" s="2">
        <v>20</v>
      </c>
      <c r="K190" s="33">
        <f t="shared" si="8"/>
        <v>788.40000000000009</v>
      </c>
      <c r="L190" s="3">
        <v>0.1</v>
      </c>
      <c r="M190" s="33">
        <f t="shared" si="9"/>
        <v>787.61160000000007</v>
      </c>
      <c r="N190" s="33">
        <v>520.9</v>
      </c>
      <c r="O190" s="33">
        <f t="shared" si="10"/>
        <v>266.71160000000009</v>
      </c>
      <c r="P190" s="4">
        <f t="shared" si="11"/>
        <v>0.33863340763391508</v>
      </c>
    </row>
    <row r="191" spans="1:16" x14ac:dyDescent="0.25">
      <c r="A191" s="5" t="s">
        <v>263</v>
      </c>
      <c r="B191" s="31">
        <v>45201</v>
      </c>
      <c r="C191" s="5" t="s">
        <v>30</v>
      </c>
      <c r="D191" s="5" t="s">
        <v>18</v>
      </c>
      <c r="E191" s="5" t="s">
        <v>19</v>
      </c>
      <c r="F191" s="5" t="s">
        <v>45</v>
      </c>
      <c r="G191" s="5" t="s">
        <v>85</v>
      </c>
      <c r="H191" s="5" t="s">
        <v>38</v>
      </c>
      <c r="I191" s="32">
        <v>245.11</v>
      </c>
      <c r="J191" s="6">
        <v>25</v>
      </c>
      <c r="K191" s="32">
        <f t="shared" si="8"/>
        <v>6127.75</v>
      </c>
      <c r="L191" s="7">
        <v>0.15</v>
      </c>
      <c r="M191" s="32">
        <f t="shared" si="9"/>
        <v>6118.5583750000005</v>
      </c>
      <c r="N191" s="32">
        <v>3704.44</v>
      </c>
      <c r="O191" s="32">
        <f t="shared" si="10"/>
        <v>2414.1183750000005</v>
      </c>
      <c r="P191" s="8">
        <f t="shared" si="11"/>
        <v>0.39455672840581507</v>
      </c>
    </row>
    <row r="192" spans="1:16" x14ac:dyDescent="0.25">
      <c r="A192" s="1" t="s">
        <v>264</v>
      </c>
      <c r="B192" s="30">
        <v>44942</v>
      </c>
      <c r="C192" s="1" t="s">
        <v>24</v>
      </c>
      <c r="D192" s="1" t="s">
        <v>25</v>
      </c>
      <c r="E192" s="1" t="s">
        <v>36</v>
      </c>
      <c r="F192" s="1" t="s">
        <v>20</v>
      </c>
      <c r="G192" s="1" t="s">
        <v>113</v>
      </c>
      <c r="H192" s="1" t="s">
        <v>22</v>
      </c>
      <c r="I192" s="33">
        <v>26.05</v>
      </c>
      <c r="J192" s="2">
        <v>22</v>
      </c>
      <c r="K192" s="33">
        <f t="shared" si="8"/>
        <v>573.1</v>
      </c>
      <c r="L192" s="3">
        <v>0.15</v>
      </c>
      <c r="M192" s="33">
        <f t="shared" si="9"/>
        <v>572.24035000000003</v>
      </c>
      <c r="N192" s="33">
        <v>300.47000000000003</v>
      </c>
      <c r="O192" s="33">
        <f t="shared" si="10"/>
        <v>271.77035000000001</v>
      </c>
      <c r="P192" s="4">
        <f t="shared" si="11"/>
        <v>0.47492343033831846</v>
      </c>
    </row>
    <row r="193" spans="1:16" x14ac:dyDescent="0.25">
      <c r="A193" s="5" t="s">
        <v>265</v>
      </c>
      <c r="B193" s="31">
        <v>44980</v>
      </c>
      <c r="C193" s="5" t="s">
        <v>43</v>
      </c>
      <c r="D193" s="5" t="s">
        <v>25</v>
      </c>
      <c r="E193" s="5" t="s">
        <v>19</v>
      </c>
      <c r="F193" s="5" t="s">
        <v>26</v>
      </c>
      <c r="G193" s="5" t="s">
        <v>31</v>
      </c>
      <c r="H193" s="5" t="s">
        <v>56</v>
      </c>
      <c r="I193" s="32">
        <v>228.43</v>
      </c>
      <c r="J193" s="6">
        <v>7</v>
      </c>
      <c r="K193" s="32">
        <f t="shared" si="8"/>
        <v>1599.01</v>
      </c>
      <c r="L193" s="7">
        <v>0.1</v>
      </c>
      <c r="M193" s="32">
        <f t="shared" si="9"/>
        <v>1597.4109900000001</v>
      </c>
      <c r="N193" s="32">
        <v>962.05</v>
      </c>
      <c r="O193" s="32">
        <f t="shared" si="10"/>
        <v>635.36099000000013</v>
      </c>
      <c r="P193" s="8">
        <f t="shared" si="11"/>
        <v>0.3977442211036748</v>
      </c>
    </row>
    <row r="194" spans="1:16" x14ac:dyDescent="0.25">
      <c r="A194" s="1" t="s">
        <v>266</v>
      </c>
      <c r="B194" s="30">
        <v>45105</v>
      </c>
      <c r="C194" s="1" t="s">
        <v>48</v>
      </c>
      <c r="D194" s="1" t="s">
        <v>49</v>
      </c>
      <c r="E194" s="1" t="s">
        <v>36</v>
      </c>
      <c r="F194" s="1" t="s">
        <v>20</v>
      </c>
      <c r="G194" s="1" t="s">
        <v>113</v>
      </c>
      <c r="H194" s="1" t="s">
        <v>51</v>
      </c>
      <c r="I194" s="33">
        <v>25.61</v>
      </c>
      <c r="J194" s="2">
        <v>17</v>
      </c>
      <c r="K194" s="33">
        <f t="shared" ref="K194:K257" si="12">I194*J194</f>
        <v>435.37</v>
      </c>
      <c r="L194" s="3">
        <v>0</v>
      </c>
      <c r="M194" s="33">
        <f t="shared" ref="M194:M257" si="13">K194*(1-L194/100)</f>
        <v>435.37</v>
      </c>
      <c r="N194" s="33">
        <v>230.62</v>
      </c>
      <c r="O194" s="33">
        <f t="shared" ref="O194:O257" si="14">M194-N194</f>
        <v>204.75</v>
      </c>
      <c r="P194" s="4">
        <f t="shared" ref="P194:P257" si="15">IF(M194=0,0,O194/M194)</f>
        <v>0.47028963869811885</v>
      </c>
    </row>
    <row r="195" spans="1:16" x14ac:dyDescent="0.25">
      <c r="A195" s="5" t="s">
        <v>267</v>
      </c>
      <c r="B195" s="31">
        <v>45142</v>
      </c>
      <c r="C195" s="5" t="s">
        <v>62</v>
      </c>
      <c r="D195" s="5" t="s">
        <v>35</v>
      </c>
      <c r="E195" s="5" t="s">
        <v>36</v>
      </c>
      <c r="F195" s="5" t="s">
        <v>66</v>
      </c>
      <c r="G195" s="5" t="s">
        <v>67</v>
      </c>
      <c r="H195" s="5" t="s">
        <v>51</v>
      </c>
      <c r="I195" s="32">
        <v>56.9</v>
      </c>
      <c r="J195" s="6">
        <v>10</v>
      </c>
      <c r="K195" s="32">
        <f t="shared" si="12"/>
        <v>569</v>
      </c>
      <c r="L195" s="7">
        <v>0.15</v>
      </c>
      <c r="M195" s="32">
        <f t="shared" si="13"/>
        <v>568.14650000000006</v>
      </c>
      <c r="N195" s="32">
        <v>379.01</v>
      </c>
      <c r="O195" s="32">
        <f t="shared" si="14"/>
        <v>189.13650000000007</v>
      </c>
      <c r="P195" s="8">
        <f t="shared" si="15"/>
        <v>0.33290093312200297</v>
      </c>
    </row>
    <row r="196" spans="1:16" x14ac:dyDescent="0.25">
      <c r="A196" s="1" t="s">
        <v>268</v>
      </c>
      <c r="B196" s="30">
        <v>45115</v>
      </c>
      <c r="C196" s="1" t="s">
        <v>34</v>
      </c>
      <c r="D196" s="1" t="s">
        <v>35</v>
      </c>
      <c r="E196" s="1" t="s">
        <v>44</v>
      </c>
      <c r="F196" s="1" t="s">
        <v>20</v>
      </c>
      <c r="G196" s="1" t="s">
        <v>37</v>
      </c>
      <c r="H196" s="1" t="s">
        <v>32</v>
      </c>
      <c r="I196" s="33">
        <v>5.97</v>
      </c>
      <c r="J196" s="2">
        <v>6</v>
      </c>
      <c r="K196" s="33">
        <f t="shared" si="12"/>
        <v>35.82</v>
      </c>
      <c r="L196" s="3">
        <v>0.2</v>
      </c>
      <c r="M196" s="33">
        <f t="shared" si="13"/>
        <v>35.748359999999998</v>
      </c>
      <c r="N196" s="33">
        <v>25.04</v>
      </c>
      <c r="O196" s="33">
        <f t="shared" si="14"/>
        <v>10.708359999999999</v>
      </c>
      <c r="P196" s="4">
        <f t="shared" si="15"/>
        <v>0.29954828697036728</v>
      </c>
    </row>
    <row r="197" spans="1:16" x14ac:dyDescent="0.25">
      <c r="A197" s="5" t="s">
        <v>269</v>
      </c>
      <c r="B197" s="31">
        <v>45154</v>
      </c>
      <c r="C197" s="5" t="s">
        <v>62</v>
      </c>
      <c r="D197" s="5" t="s">
        <v>35</v>
      </c>
      <c r="E197" s="5" t="s">
        <v>36</v>
      </c>
      <c r="F197" s="5" t="s">
        <v>66</v>
      </c>
      <c r="G197" s="5" t="s">
        <v>72</v>
      </c>
      <c r="H197" s="5" t="s">
        <v>64</v>
      </c>
      <c r="I197" s="32">
        <v>20.59</v>
      </c>
      <c r="J197" s="6">
        <v>17</v>
      </c>
      <c r="K197" s="32">
        <f t="shared" si="12"/>
        <v>350.03</v>
      </c>
      <c r="L197" s="7">
        <v>0.2</v>
      </c>
      <c r="M197" s="32">
        <f t="shared" si="13"/>
        <v>349.32993999999997</v>
      </c>
      <c r="N197" s="32">
        <v>242.1</v>
      </c>
      <c r="O197" s="32">
        <f t="shared" si="14"/>
        <v>107.22993999999997</v>
      </c>
      <c r="P197" s="8">
        <f t="shared" si="15"/>
        <v>0.30695891683375315</v>
      </c>
    </row>
    <row r="198" spans="1:16" x14ac:dyDescent="0.25">
      <c r="A198" s="1" t="s">
        <v>270</v>
      </c>
      <c r="B198" s="30">
        <v>45035</v>
      </c>
      <c r="C198" s="1" t="s">
        <v>74</v>
      </c>
      <c r="D198" s="1" t="s">
        <v>49</v>
      </c>
      <c r="E198" s="1" t="s">
        <v>36</v>
      </c>
      <c r="F198" s="1" t="s">
        <v>45</v>
      </c>
      <c r="G198" s="1" t="s">
        <v>85</v>
      </c>
      <c r="H198" s="1" t="s">
        <v>38</v>
      </c>
      <c r="I198" s="33">
        <v>229.49</v>
      </c>
      <c r="J198" s="2">
        <v>29</v>
      </c>
      <c r="K198" s="33">
        <f t="shared" si="12"/>
        <v>6655.21</v>
      </c>
      <c r="L198" s="3">
        <v>0.2</v>
      </c>
      <c r="M198" s="33">
        <f t="shared" si="13"/>
        <v>6641.8995800000002</v>
      </c>
      <c r="N198" s="33">
        <v>3470.26</v>
      </c>
      <c r="O198" s="33">
        <f t="shared" si="14"/>
        <v>3171.63958</v>
      </c>
      <c r="P198" s="4">
        <f t="shared" si="15"/>
        <v>0.4775199537117964</v>
      </c>
    </row>
    <row r="199" spans="1:16" x14ac:dyDescent="0.25">
      <c r="A199" s="5" t="s">
        <v>271</v>
      </c>
      <c r="B199" s="31">
        <v>44954</v>
      </c>
      <c r="C199" s="5" t="s">
        <v>24</v>
      </c>
      <c r="D199" s="5" t="s">
        <v>25</v>
      </c>
      <c r="E199" s="5" t="s">
        <v>19</v>
      </c>
      <c r="F199" s="5" t="s">
        <v>66</v>
      </c>
      <c r="G199" s="5" t="s">
        <v>67</v>
      </c>
      <c r="H199" s="5" t="s">
        <v>38</v>
      </c>
      <c r="I199" s="32">
        <v>75.83</v>
      </c>
      <c r="J199" s="6">
        <v>25</v>
      </c>
      <c r="K199" s="32">
        <f t="shared" si="12"/>
        <v>1895.75</v>
      </c>
      <c r="L199" s="7">
        <v>0.15</v>
      </c>
      <c r="M199" s="32">
        <f t="shared" si="13"/>
        <v>1892.906375</v>
      </c>
      <c r="N199" s="32">
        <v>1026.45</v>
      </c>
      <c r="O199" s="32">
        <f t="shared" si="14"/>
        <v>866.45637499999998</v>
      </c>
      <c r="P199" s="8">
        <f t="shared" si="15"/>
        <v>0.4577386322131225</v>
      </c>
    </row>
    <row r="200" spans="1:16" x14ac:dyDescent="0.25">
      <c r="A200" s="1" t="s">
        <v>272</v>
      </c>
      <c r="B200" s="30">
        <v>45109</v>
      </c>
      <c r="C200" s="1" t="s">
        <v>34</v>
      </c>
      <c r="D200" s="1" t="s">
        <v>35</v>
      </c>
      <c r="E200" s="1" t="s">
        <v>44</v>
      </c>
      <c r="F200" s="1" t="s">
        <v>20</v>
      </c>
      <c r="G200" s="1" t="s">
        <v>37</v>
      </c>
      <c r="H200" s="1" t="s">
        <v>38</v>
      </c>
      <c r="I200" s="33">
        <v>5.62</v>
      </c>
      <c r="J200" s="2">
        <v>17</v>
      </c>
      <c r="K200" s="33">
        <f t="shared" si="12"/>
        <v>95.54</v>
      </c>
      <c r="L200" s="3">
        <v>0.2</v>
      </c>
      <c r="M200" s="33">
        <f t="shared" si="13"/>
        <v>95.348920000000007</v>
      </c>
      <c r="N200" s="33">
        <v>61.26</v>
      </c>
      <c r="O200" s="33">
        <f t="shared" si="14"/>
        <v>34.088920000000009</v>
      </c>
      <c r="P200" s="4">
        <f t="shared" si="15"/>
        <v>0.35751763103347167</v>
      </c>
    </row>
    <row r="201" spans="1:16" x14ac:dyDescent="0.25">
      <c r="A201" s="5" t="s">
        <v>273</v>
      </c>
      <c r="B201" s="31">
        <v>45073</v>
      </c>
      <c r="C201" s="5" t="s">
        <v>53</v>
      </c>
      <c r="D201" s="5" t="s">
        <v>49</v>
      </c>
      <c r="E201" s="5" t="s">
        <v>19</v>
      </c>
      <c r="F201" s="5" t="s">
        <v>26</v>
      </c>
      <c r="G201" s="5" t="s">
        <v>120</v>
      </c>
      <c r="H201" s="5" t="s">
        <v>56</v>
      </c>
      <c r="I201" s="32">
        <v>195.59</v>
      </c>
      <c r="J201" s="6">
        <v>11</v>
      </c>
      <c r="K201" s="32">
        <f t="shared" si="12"/>
        <v>2151.4900000000002</v>
      </c>
      <c r="L201" s="7">
        <v>0.1</v>
      </c>
      <c r="M201" s="32">
        <f t="shared" si="13"/>
        <v>2149.33851</v>
      </c>
      <c r="N201" s="32">
        <v>1374.23</v>
      </c>
      <c r="O201" s="32">
        <f t="shared" si="14"/>
        <v>775.10851000000002</v>
      </c>
      <c r="P201" s="8">
        <f t="shared" si="15"/>
        <v>0.36062653993018534</v>
      </c>
    </row>
    <row r="202" spans="1:16" x14ac:dyDescent="0.25">
      <c r="A202" s="1" t="s">
        <v>274</v>
      </c>
      <c r="B202" s="30">
        <v>45036</v>
      </c>
      <c r="C202" s="1" t="s">
        <v>74</v>
      </c>
      <c r="D202" s="1" t="s">
        <v>49</v>
      </c>
      <c r="E202" s="1" t="s">
        <v>83</v>
      </c>
      <c r="F202" s="1" t="s">
        <v>40</v>
      </c>
      <c r="G202" s="1" t="s">
        <v>63</v>
      </c>
      <c r="H202" s="1" t="s">
        <v>28</v>
      </c>
      <c r="I202" s="33">
        <v>22.99</v>
      </c>
      <c r="J202" s="2">
        <v>23</v>
      </c>
      <c r="K202" s="33">
        <f t="shared" si="12"/>
        <v>528.77</v>
      </c>
      <c r="L202" s="3">
        <v>0.1</v>
      </c>
      <c r="M202" s="33">
        <f t="shared" si="13"/>
        <v>528.24122999999997</v>
      </c>
      <c r="N202" s="33">
        <v>344.17</v>
      </c>
      <c r="O202" s="33">
        <f t="shared" si="14"/>
        <v>184.07122999999996</v>
      </c>
      <c r="P202" s="4">
        <f t="shared" si="15"/>
        <v>0.34846055087369832</v>
      </c>
    </row>
    <row r="203" spans="1:16" x14ac:dyDescent="0.25">
      <c r="A203" s="5" t="s">
        <v>275</v>
      </c>
      <c r="B203" s="31">
        <v>45184</v>
      </c>
      <c r="C203" s="5" t="s">
        <v>71</v>
      </c>
      <c r="D203" s="5" t="s">
        <v>35</v>
      </c>
      <c r="E203" s="5" t="s">
        <v>44</v>
      </c>
      <c r="F203" s="5" t="s">
        <v>40</v>
      </c>
      <c r="G203" s="5" t="s">
        <v>96</v>
      </c>
      <c r="H203" s="5" t="s">
        <v>51</v>
      </c>
      <c r="I203" s="32">
        <v>12.77</v>
      </c>
      <c r="J203" s="6">
        <v>20</v>
      </c>
      <c r="K203" s="32">
        <f t="shared" si="12"/>
        <v>255.39999999999998</v>
      </c>
      <c r="L203" s="7">
        <v>0.1</v>
      </c>
      <c r="M203" s="32">
        <f t="shared" si="13"/>
        <v>255.14459999999997</v>
      </c>
      <c r="N203" s="32">
        <v>125.28</v>
      </c>
      <c r="O203" s="32">
        <f t="shared" si="14"/>
        <v>129.86459999999997</v>
      </c>
      <c r="P203" s="8">
        <f t="shared" si="15"/>
        <v>0.50898431712840475</v>
      </c>
    </row>
    <row r="204" spans="1:16" x14ac:dyDescent="0.25">
      <c r="A204" s="1" t="s">
        <v>276</v>
      </c>
      <c r="B204" s="30">
        <v>45223</v>
      </c>
      <c r="C204" s="1" t="s">
        <v>30</v>
      </c>
      <c r="D204" s="1" t="s">
        <v>18</v>
      </c>
      <c r="E204" s="1" t="s">
        <v>36</v>
      </c>
      <c r="F204" s="1" t="s">
        <v>40</v>
      </c>
      <c r="G204" s="1" t="s">
        <v>41</v>
      </c>
      <c r="H204" s="1" t="s">
        <v>68</v>
      </c>
      <c r="I204" s="33">
        <v>68.989999999999995</v>
      </c>
      <c r="J204" s="2">
        <v>10</v>
      </c>
      <c r="K204" s="33">
        <f t="shared" si="12"/>
        <v>689.9</v>
      </c>
      <c r="L204" s="3">
        <v>0.2</v>
      </c>
      <c r="M204" s="33">
        <f t="shared" si="13"/>
        <v>688.52019999999993</v>
      </c>
      <c r="N204" s="33">
        <v>451.15</v>
      </c>
      <c r="O204" s="33">
        <f t="shared" si="14"/>
        <v>237.37019999999995</v>
      </c>
      <c r="P204" s="4">
        <f t="shared" si="15"/>
        <v>0.34475415536101917</v>
      </c>
    </row>
    <row r="205" spans="1:16" x14ac:dyDescent="0.25">
      <c r="A205" s="5" t="s">
        <v>277</v>
      </c>
      <c r="B205" s="31">
        <v>45088</v>
      </c>
      <c r="C205" s="5" t="s">
        <v>48</v>
      </c>
      <c r="D205" s="5" t="s">
        <v>49</v>
      </c>
      <c r="E205" s="5" t="s">
        <v>19</v>
      </c>
      <c r="F205" s="5" t="s">
        <v>66</v>
      </c>
      <c r="G205" s="5" t="s">
        <v>77</v>
      </c>
      <c r="H205" s="5" t="s">
        <v>38</v>
      </c>
      <c r="I205" s="32">
        <v>23.37</v>
      </c>
      <c r="J205" s="6">
        <v>24</v>
      </c>
      <c r="K205" s="32">
        <f t="shared" si="12"/>
        <v>560.88</v>
      </c>
      <c r="L205" s="7">
        <v>0</v>
      </c>
      <c r="M205" s="32">
        <f t="shared" si="13"/>
        <v>560.88</v>
      </c>
      <c r="N205" s="32">
        <v>336.11</v>
      </c>
      <c r="O205" s="32">
        <f t="shared" si="14"/>
        <v>224.76999999999998</v>
      </c>
      <c r="P205" s="8">
        <f t="shared" si="15"/>
        <v>0.4007452574525745</v>
      </c>
    </row>
    <row r="206" spans="1:16" x14ac:dyDescent="0.25">
      <c r="A206" s="1" t="s">
        <v>278</v>
      </c>
      <c r="B206" s="30">
        <v>45067</v>
      </c>
      <c r="C206" s="1" t="s">
        <v>53</v>
      </c>
      <c r="D206" s="1" t="s">
        <v>49</v>
      </c>
      <c r="E206" s="1" t="s">
        <v>44</v>
      </c>
      <c r="F206" s="1" t="s">
        <v>45</v>
      </c>
      <c r="G206" s="1" t="s">
        <v>50</v>
      </c>
      <c r="H206" s="1" t="s">
        <v>68</v>
      </c>
      <c r="I206" s="33">
        <v>39.409999999999997</v>
      </c>
      <c r="J206" s="2">
        <v>21</v>
      </c>
      <c r="K206" s="33">
        <f t="shared" si="12"/>
        <v>827.6099999999999</v>
      </c>
      <c r="L206" s="3">
        <v>0.15</v>
      </c>
      <c r="M206" s="33">
        <f t="shared" si="13"/>
        <v>826.36858499999994</v>
      </c>
      <c r="N206" s="33">
        <v>403</v>
      </c>
      <c r="O206" s="33">
        <f t="shared" si="14"/>
        <v>423.36858499999994</v>
      </c>
      <c r="P206" s="4">
        <f t="shared" si="15"/>
        <v>0.51232415254507768</v>
      </c>
    </row>
    <row r="207" spans="1:16" x14ac:dyDescent="0.25">
      <c r="A207" s="5" t="s">
        <v>279</v>
      </c>
      <c r="B207" s="31">
        <v>45238</v>
      </c>
      <c r="C207" s="5" t="s">
        <v>17</v>
      </c>
      <c r="D207" s="5" t="s">
        <v>18</v>
      </c>
      <c r="E207" s="5" t="s">
        <v>19</v>
      </c>
      <c r="F207" s="5" t="s">
        <v>40</v>
      </c>
      <c r="G207" s="5" t="s">
        <v>63</v>
      </c>
      <c r="H207" s="5" t="s">
        <v>22</v>
      </c>
      <c r="I207" s="32">
        <v>22.74</v>
      </c>
      <c r="J207" s="6">
        <v>11</v>
      </c>
      <c r="K207" s="32">
        <f t="shared" si="12"/>
        <v>250.14</v>
      </c>
      <c r="L207" s="7">
        <v>0.15</v>
      </c>
      <c r="M207" s="32">
        <f t="shared" si="13"/>
        <v>249.76479</v>
      </c>
      <c r="N207" s="32">
        <v>122.02</v>
      </c>
      <c r="O207" s="32">
        <f t="shared" si="14"/>
        <v>127.74479000000001</v>
      </c>
      <c r="P207" s="8">
        <f t="shared" si="15"/>
        <v>0.51146036236732972</v>
      </c>
    </row>
    <row r="208" spans="1:16" x14ac:dyDescent="0.25">
      <c r="A208" s="1" t="s">
        <v>280</v>
      </c>
      <c r="B208" s="30">
        <v>45267</v>
      </c>
      <c r="C208" s="1" t="s">
        <v>82</v>
      </c>
      <c r="D208" s="1" t="s">
        <v>18</v>
      </c>
      <c r="E208" s="1" t="s">
        <v>83</v>
      </c>
      <c r="F208" s="1" t="s">
        <v>40</v>
      </c>
      <c r="G208" s="1" t="s">
        <v>96</v>
      </c>
      <c r="H208" s="1" t="s">
        <v>68</v>
      </c>
      <c r="I208" s="33">
        <v>16.04</v>
      </c>
      <c r="J208" s="2">
        <v>24</v>
      </c>
      <c r="K208" s="33">
        <f t="shared" si="12"/>
        <v>384.96</v>
      </c>
      <c r="L208" s="3">
        <v>0</v>
      </c>
      <c r="M208" s="33">
        <f t="shared" si="13"/>
        <v>384.96</v>
      </c>
      <c r="N208" s="33">
        <v>241.11</v>
      </c>
      <c r="O208" s="33">
        <f t="shared" si="14"/>
        <v>143.84999999999997</v>
      </c>
      <c r="P208" s="4">
        <f t="shared" si="15"/>
        <v>0.37367518703241887</v>
      </c>
    </row>
    <row r="209" spans="1:16" x14ac:dyDescent="0.25">
      <c r="A209" s="5" t="s">
        <v>281</v>
      </c>
      <c r="B209" s="31">
        <v>45176</v>
      </c>
      <c r="C209" s="5" t="s">
        <v>71</v>
      </c>
      <c r="D209" s="5" t="s">
        <v>35</v>
      </c>
      <c r="E209" s="5" t="s">
        <v>36</v>
      </c>
      <c r="F209" s="5" t="s">
        <v>66</v>
      </c>
      <c r="G209" s="5" t="s">
        <v>77</v>
      </c>
      <c r="H209" s="5" t="s">
        <v>56</v>
      </c>
      <c r="I209" s="32">
        <v>19.02</v>
      </c>
      <c r="J209" s="6">
        <v>6</v>
      </c>
      <c r="K209" s="32">
        <f t="shared" si="12"/>
        <v>114.12</v>
      </c>
      <c r="L209" s="7">
        <v>0.2</v>
      </c>
      <c r="M209" s="32">
        <f t="shared" si="13"/>
        <v>113.89176</v>
      </c>
      <c r="N209" s="32">
        <v>77.39</v>
      </c>
      <c r="O209" s="32">
        <f t="shared" si="14"/>
        <v>36.501760000000004</v>
      </c>
      <c r="P209" s="8">
        <f t="shared" si="15"/>
        <v>0.32049517893129409</v>
      </c>
    </row>
    <row r="210" spans="1:16" x14ac:dyDescent="0.25">
      <c r="A210" s="1" t="s">
        <v>282</v>
      </c>
      <c r="B210" s="30">
        <v>45095</v>
      </c>
      <c r="C210" s="1" t="s">
        <v>48</v>
      </c>
      <c r="D210" s="1" t="s">
        <v>49</v>
      </c>
      <c r="E210" s="1" t="s">
        <v>36</v>
      </c>
      <c r="F210" s="1" t="s">
        <v>20</v>
      </c>
      <c r="G210" s="1" t="s">
        <v>37</v>
      </c>
      <c r="H210" s="1" t="s">
        <v>68</v>
      </c>
      <c r="I210" s="33">
        <v>5.98</v>
      </c>
      <c r="J210" s="2">
        <v>8</v>
      </c>
      <c r="K210" s="33">
        <f t="shared" si="12"/>
        <v>47.84</v>
      </c>
      <c r="L210" s="3">
        <v>0.05</v>
      </c>
      <c r="M210" s="33">
        <f t="shared" si="13"/>
        <v>47.816080000000007</v>
      </c>
      <c r="N210" s="33">
        <v>28.19</v>
      </c>
      <c r="O210" s="33">
        <f t="shared" si="14"/>
        <v>19.626080000000005</v>
      </c>
      <c r="P210" s="4">
        <f t="shared" si="15"/>
        <v>0.41044937184311225</v>
      </c>
    </row>
    <row r="211" spans="1:16" x14ac:dyDescent="0.25">
      <c r="A211" s="5" t="s">
        <v>283</v>
      </c>
      <c r="B211" s="31">
        <v>45026</v>
      </c>
      <c r="C211" s="5" t="s">
        <v>74</v>
      </c>
      <c r="D211" s="5" t="s">
        <v>49</v>
      </c>
      <c r="E211" s="5" t="s">
        <v>36</v>
      </c>
      <c r="F211" s="5" t="s">
        <v>26</v>
      </c>
      <c r="G211" s="5" t="s">
        <v>31</v>
      </c>
      <c r="H211" s="5" t="s">
        <v>32</v>
      </c>
      <c r="I211" s="32">
        <v>227.98</v>
      </c>
      <c r="J211" s="6">
        <v>18</v>
      </c>
      <c r="K211" s="32">
        <f t="shared" si="12"/>
        <v>4103.6399999999994</v>
      </c>
      <c r="L211" s="7">
        <v>0.05</v>
      </c>
      <c r="M211" s="32">
        <f t="shared" si="13"/>
        <v>4101.5881799999997</v>
      </c>
      <c r="N211" s="32">
        <v>2141.89</v>
      </c>
      <c r="O211" s="32">
        <f t="shared" si="14"/>
        <v>1959.6981799999999</v>
      </c>
      <c r="P211" s="8">
        <f t="shared" si="15"/>
        <v>0.47779008861879446</v>
      </c>
    </row>
    <row r="212" spans="1:16" x14ac:dyDescent="0.25">
      <c r="A212" s="1" t="s">
        <v>284</v>
      </c>
      <c r="B212" s="30">
        <v>45221</v>
      </c>
      <c r="C212" s="1" t="s">
        <v>30</v>
      </c>
      <c r="D212" s="1" t="s">
        <v>18</v>
      </c>
      <c r="E212" s="1" t="s">
        <v>83</v>
      </c>
      <c r="F212" s="1" t="s">
        <v>66</v>
      </c>
      <c r="G212" s="1" t="s">
        <v>125</v>
      </c>
      <c r="H212" s="1" t="s">
        <v>51</v>
      </c>
      <c r="I212" s="33">
        <v>47.04</v>
      </c>
      <c r="J212" s="2">
        <v>10</v>
      </c>
      <c r="K212" s="33">
        <f t="shared" si="12"/>
        <v>470.4</v>
      </c>
      <c r="L212" s="3">
        <v>0</v>
      </c>
      <c r="M212" s="33">
        <f t="shared" si="13"/>
        <v>470.4</v>
      </c>
      <c r="N212" s="33">
        <v>252.39</v>
      </c>
      <c r="O212" s="33">
        <f t="shared" si="14"/>
        <v>218.01</v>
      </c>
      <c r="P212" s="4">
        <f t="shared" si="15"/>
        <v>0.46345663265306125</v>
      </c>
    </row>
    <row r="213" spans="1:16" x14ac:dyDescent="0.25">
      <c r="A213" s="5" t="s">
        <v>285</v>
      </c>
      <c r="B213" s="31">
        <v>45159</v>
      </c>
      <c r="C213" s="5" t="s">
        <v>62</v>
      </c>
      <c r="D213" s="5" t="s">
        <v>35</v>
      </c>
      <c r="E213" s="5" t="s">
        <v>36</v>
      </c>
      <c r="F213" s="5" t="s">
        <v>66</v>
      </c>
      <c r="G213" s="5" t="s">
        <v>67</v>
      </c>
      <c r="H213" s="5" t="s">
        <v>22</v>
      </c>
      <c r="I213" s="32">
        <v>78.84</v>
      </c>
      <c r="J213" s="6">
        <v>9</v>
      </c>
      <c r="K213" s="32">
        <f t="shared" si="12"/>
        <v>709.56000000000006</v>
      </c>
      <c r="L213" s="7">
        <v>0.05</v>
      </c>
      <c r="M213" s="32">
        <f t="shared" si="13"/>
        <v>709.20522000000005</v>
      </c>
      <c r="N213" s="32">
        <v>343.65</v>
      </c>
      <c r="O213" s="32">
        <f t="shared" si="14"/>
        <v>365.55522000000008</v>
      </c>
      <c r="P213" s="8">
        <f t="shared" si="15"/>
        <v>0.5154434988507276</v>
      </c>
    </row>
    <row r="214" spans="1:16" x14ac:dyDescent="0.25">
      <c r="A214" s="1" t="s">
        <v>286</v>
      </c>
      <c r="B214" s="30">
        <v>45223</v>
      </c>
      <c r="C214" s="1" t="s">
        <v>30</v>
      </c>
      <c r="D214" s="1" t="s">
        <v>18</v>
      </c>
      <c r="E214" s="1" t="s">
        <v>44</v>
      </c>
      <c r="F214" s="1" t="s">
        <v>26</v>
      </c>
      <c r="G214" s="1" t="s">
        <v>120</v>
      </c>
      <c r="H214" s="1" t="s">
        <v>22</v>
      </c>
      <c r="I214" s="33">
        <v>219.42</v>
      </c>
      <c r="J214" s="2">
        <v>2</v>
      </c>
      <c r="K214" s="33">
        <f t="shared" si="12"/>
        <v>438.84</v>
      </c>
      <c r="L214" s="3">
        <v>0</v>
      </c>
      <c r="M214" s="33">
        <f t="shared" si="13"/>
        <v>438.84</v>
      </c>
      <c r="N214" s="33">
        <v>242.82</v>
      </c>
      <c r="O214" s="33">
        <f t="shared" si="14"/>
        <v>196.01999999999998</v>
      </c>
      <c r="P214" s="4">
        <f t="shared" si="15"/>
        <v>0.44667760459392941</v>
      </c>
    </row>
    <row r="215" spans="1:16" x14ac:dyDescent="0.25">
      <c r="A215" s="5" t="s">
        <v>287</v>
      </c>
      <c r="B215" s="31">
        <v>45276</v>
      </c>
      <c r="C215" s="5" t="s">
        <v>82</v>
      </c>
      <c r="D215" s="5" t="s">
        <v>18</v>
      </c>
      <c r="E215" s="5" t="s">
        <v>19</v>
      </c>
      <c r="F215" s="5" t="s">
        <v>26</v>
      </c>
      <c r="G215" s="5" t="s">
        <v>120</v>
      </c>
      <c r="H215" s="5" t="s">
        <v>51</v>
      </c>
      <c r="I215" s="32">
        <v>198.62</v>
      </c>
      <c r="J215" s="6">
        <v>30</v>
      </c>
      <c r="K215" s="32">
        <f t="shared" si="12"/>
        <v>5958.6</v>
      </c>
      <c r="L215" s="7">
        <v>0.2</v>
      </c>
      <c r="M215" s="32">
        <f t="shared" si="13"/>
        <v>5946.6828000000005</v>
      </c>
      <c r="N215" s="32">
        <v>3392.63</v>
      </c>
      <c r="O215" s="32">
        <f t="shared" si="14"/>
        <v>2554.0528000000004</v>
      </c>
      <c r="P215" s="8">
        <f t="shared" si="15"/>
        <v>0.42949201864272973</v>
      </c>
    </row>
    <row r="216" spans="1:16" x14ac:dyDescent="0.25">
      <c r="A216" s="1" t="s">
        <v>288</v>
      </c>
      <c r="B216" s="30">
        <v>45041</v>
      </c>
      <c r="C216" s="1" t="s">
        <v>74</v>
      </c>
      <c r="D216" s="1" t="s">
        <v>49</v>
      </c>
      <c r="E216" s="1" t="s">
        <v>36</v>
      </c>
      <c r="F216" s="1" t="s">
        <v>20</v>
      </c>
      <c r="G216" s="1" t="s">
        <v>98</v>
      </c>
      <c r="H216" s="1" t="s">
        <v>28</v>
      </c>
      <c r="I216" s="33">
        <v>16.25</v>
      </c>
      <c r="J216" s="2">
        <v>3</v>
      </c>
      <c r="K216" s="33">
        <f t="shared" si="12"/>
        <v>48.75</v>
      </c>
      <c r="L216" s="3">
        <v>0.05</v>
      </c>
      <c r="M216" s="33">
        <f t="shared" si="13"/>
        <v>48.725625000000001</v>
      </c>
      <c r="N216" s="33">
        <v>28.46</v>
      </c>
      <c r="O216" s="33">
        <f t="shared" si="14"/>
        <v>20.265625</v>
      </c>
      <c r="P216" s="4">
        <f t="shared" si="15"/>
        <v>0.41591308474750194</v>
      </c>
    </row>
    <row r="217" spans="1:16" x14ac:dyDescent="0.25">
      <c r="A217" s="5" t="s">
        <v>289</v>
      </c>
      <c r="B217" s="31">
        <v>45288</v>
      </c>
      <c r="C217" s="5" t="s">
        <v>82</v>
      </c>
      <c r="D217" s="5" t="s">
        <v>18</v>
      </c>
      <c r="E217" s="5" t="s">
        <v>19</v>
      </c>
      <c r="F217" s="5" t="s">
        <v>26</v>
      </c>
      <c r="G217" s="5" t="s">
        <v>31</v>
      </c>
      <c r="H217" s="5" t="s">
        <v>51</v>
      </c>
      <c r="I217" s="32">
        <v>273.39</v>
      </c>
      <c r="J217" s="6">
        <v>2</v>
      </c>
      <c r="K217" s="32">
        <f t="shared" si="12"/>
        <v>546.78</v>
      </c>
      <c r="L217" s="7">
        <v>0.15</v>
      </c>
      <c r="M217" s="32">
        <f t="shared" si="13"/>
        <v>545.95983000000001</v>
      </c>
      <c r="N217" s="32">
        <v>353.76</v>
      </c>
      <c r="O217" s="32">
        <f t="shared" si="14"/>
        <v>192.19983000000002</v>
      </c>
      <c r="P217" s="8">
        <f t="shared" si="15"/>
        <v>0.35204024076276824</v>
      </c>
    </row>
    <row r="218" spans="1:16" x14ac:dyDescent="0.25">
      <c r="A218" s="1" t="s">
        <v>290</v>
      </c>
      <c r="B218" s="30">
        <v>45009</v>
      </c>
      <c r="C218" s="1" t="s">
        <v>58</v>
      </c>
      <c r="D218" s="1" t="s">
        <v>25</v>
      </c>
      <c r="E218" s="1" t="s">
        <v>36</v>
      </c>
      <c r="F218" s="1" t="s">
        <v>45</v>
      </c>
      <c r="G218" s="1" t="s">
        <v>85</v>
      </c>
      <c r="H218" s="1" t="s">
        <v>38</v>
      </c>
      <c r="I218" s="33">
        <v>236.8</v>
      </c>
      <c r="J218" s="2">
        <v>4</v>
      </c>
      <c r="K218" s="33">
        <f t="shared" si="12"/>
        <v>947.2</v>
      </c>
      <c r="L218" s="3">
        <v>0.1</v>
      </c>
      <c r="M218" s="33">
        <f t="shared" si="13"/>
        <v>946.25280000000009</v>
      </c>
      <c r="N218" s="33">
        <v>493.62</v>
      </c>
      <c r="O218" s="33">
        <f t="shared" si="14"/>
        <v>452.63280000000009</v>
      </c>
      <c r="P218" s="4">
        <f t="shared" si="15"/>
        <v>0.4783423626329032</v>
      </c>
    </row>
    <row r="219" spans="1:16" x14ac:dyDescent="0.25">
      <c r="A219" s="5" t="s">
        <v>291</v>
      </c>
      <c r="B219" s="31">
        <v>45248</v>
      </c>
      <c r="C219" s="5" t="s">
        <v>17</v>
      </c>
      <c r="D219" s="5" t="s">
        <v>18</v>
      </c>
      <c r="E219" s="5" t="s">
        <v>83</v>
      </c>
      <c r="F219" s="5" t="s">
        <v>26</v>
      </c>
      <c r="G219" s="5" t="s">
        <v>207</v>
      </c>
      <c r="H219" s="5" t="s">
        <v>68</v>
      </c>
      <c r="I219" s="32">
        <v>36.270000000000003</v>
      </c>
      <c r="J219" s="6">
        <v>26</v>
      </c>
      <c r="K219" s="32">
        <f t="shared" si="12"/>
        <v>943.0200000000001</v>
      </c>
      <c r="L219" s="7">
        <v>0</v>
      </c>
      <c r="M219" s="32">
        <f t="shared" si="13"/>
        <v>943.0200000000001</v>
      </c>
      <c r="N219" s="32">
        <v>502.38</v>
      </c>
      <c r="O219" s="32">
        <f t="shared" si="14"/>
        <v>440.6400000000001</v>
      </c>
      <c r="P219" s="8">
        <f t="shared" si="15"/>
        <v>0.46726474518037797</v>
      </c>
    </row>
    <row r="220" spans="1:16" x14ac:dyDescent="0.25">
      <c r="A220" s="1" t="s">
        <v>292</v>
      </c>
      <c r="B220" s="30">
        <v>45275</v>
      </c>
      <c r="C220" s="1" t="s">
        <v>82</v>
      </c>
      <c r="D220" s="1" t="s">
        <v>18</v>
      </c>
      <c r="E220" s="1" t="s">
        <v>36</v>
      </c>
      <c r="F220" s="1" t="s">
        <v>26</v>
      </c>
      <c r="G220" s="1" t="s">
        <v>120</v>
      </c>
      <c r="H220" s="1" t="s">
        <v>32</v>
      </c>
      <c r="I220" s="33">
        <v>233.17</v>
      </c>
      <c r="J220" s="2">
        <v>19</v>
      </c>
      <c r="K220" s="33">
        <f t="shared" si="12"/>
        <v>4430.2299999999996</v>
      </c>
      <c r="L220" s="3">
        <v>0.05</v>
      </c>
      <c r="M220" s="33">
        <f t="shared" si="13"/>
        <v>4428.0148849999996</v>
      </c>
      <c r="N220" s="33">
        <v>2187.9699999999998</v>
      </c>
      <c r="O220" s="33">
        <f t="shared" si="14"/>
        <v>2240.0448849999998</v>
      </c>
      <c r="P220" s="4">
        <f t="shared" si="15"/>
        <v>0.50588016146653036</v>
      </c>
    </row>
    <row r="221" spans="1:16" x14ac:dyDescent="0.25">
      <c r="A221" s="5" t="s">
        <v>293</v>
      </c>
      <c r="B221" s="31">
        <v>45243</v>
      </c>
      <c r="C221" s="5" t="s">
        <v>17</v>
      </c>
      <c r="D221" s="5" t="s">
        <v>18</v>
      </c>
      <c r="E221" s="5" t="s">
        <v>83</v>
      </c>
      <c r="F221" s="5" t="s">
        <v>40</v>
      </c>
      <c r="G221" s="5" t="s">
        <v>41</v>
      </c>
      <c r="H221" s="5" t="s">
        <v>64</v>
      </c>
      <c r="I221" s="32">
        <v>60.52</v>
      </c>
      <c r="J221" s="6">
        <v>4</v>
      </c>
      <c r="K221" s="32">
        <f t="shared" si="12"/>
        <v>242.08</v>
      </c>
      <c r="L221" s="7">
        <v>0</v>
      </c>
      <c r="M221" s="32">
        <f t="shared" si="13"/>
        <v>242.08</v>
      </c>
      <c r="N221" s="32">
        <v>168.36</v>
      </c>
      <c r="O221" s="32">
        <f t="shared" si="14"/>
        <v>73.72</v>
      </c>
      <c r="P221" s="8">
        <f t="shared" si="15"/>
        <v>0.30452742894910773</v>
      </c>
    </row>
    <row r="222" spans="1:16" x14ac:dyDescent="0.25">
      <c r="A222" s="1" t="s">
        <v>294</v>
      </c>
      <c r="B222" s="30">
        <v>45149</v>
      </c>
      <c r="C222" s="1" t="s">
        <v>62</v>
      </c>
      <c r="D222" s="1" t="s">
        <v>35</v>
      </c>
      <c r="E222" s="1" t="s">
        <v>44</v>
      </c>
      <c r="F222" s="1" t="s">
        <v>45</v>
      </c>
      <c r="G222" s="1" t="s">
        <v>105</v>
      </c>
      <c r="H222" s="1" t="s">
        <v>56</v>
      </c>
      <c r="I222" s="33">
        <v>30.53</v>
      </c>
      <c r="J222" s="2">
        <v>25</v>
      </c>
      <c r="K222" s="33">
        <f t="shared" si="12"/>
        <v>763.25</v>
      </c>
      <c r="L222" s="3">
        <v>0.05</v>
      </c>
      <c r="M222" s="33">
        <f t="shared" si="13"/>
        <v>762.86837500000001</v>
      </c>
      <c r="N222" s="33">
        <v>525.54999999999995</v>
      </c>
      <c r="O222" s="33">
        <f t="shared" si="14"/>
        <v>237.31837500000006</v>
      </c>
      <c r="P222" s="4">
        <f t="shared" si="15"/>
        <v>0.31108692243271985</v>
      </c>
    </row>
    <row r="223" spans="1:16" x14ac:dyDescent="0.25">
      <c r="A223" s="5" t="s">
        <v>295</v>
      </c>
      <c r="B223" s="31">
        <v>45065</v>
      </c>
      <c r="C223" s="5" t="s">
        <v>53</v>
      </c>
      <c r="D223" s="5" t="s">
        <v>49</v>
      </c>
      <c r="E223" s="5" t="s">
        <v>19</v>
      </c>
      <c r="F223" s="5" t="s">
        <v>20</v>
      </c>
      <c r="G223" s="5" t="s">
        <v>98</v>
      </c>
      <c r="H223" s="5" t="s">
        <v>22</v>
      </c>
      <c r="I223" s="32">
        <v>11.17</v>
      </c>
      <c r="J223" s="6">
        <v>4</v>
      </c>
      <c r="K223" s="32">
        <f t="shared" si="12"/>
        <v>44.68</v>
      </c>
      <c r="L223" s="7">
        <v>0.2</v>
      </c>
      <c r="M223" s="32">
        <f t="shared" si="13"/>
        <v>44.59064</v>
      </c>
      <c r="N223" s="32">
        <v>23.54</v>
      </c>
      <c r="O223" s="32">
        <f t="shared" si="14"/>
        <v>21.050640000000001</v>
      </c>
      <c r="P223" s="8">
        <f t="shared" si="15"/>
        <v>0.47208651860569845</v>
      </c>
    </row>
    <row r="224" spans="1:16" x14ac:dyDescent="0.25">
      <c r="A224" s="1" t="s">
        <v>296</v>
      </c>
      <c r="B224" s="30">
        <v>45129</v>
      </c>
      <c r="C224" s="1" t="s">
        <v>34</v>
      </c>
      <c r="D224" s="1" t="s">
        <v>35</v>
      </c>
      <c r="E224" s="1" t="s">
        <v>36</v>
      </c>
      <c r="F224" s="1" t="s">
        <v>45</v>
      </c>
      <c r="G224" s="1" t="s">
        <v>105</v>
      </c>
      <c r="H224" s="1" t="s">
        <v>32</v>
      </c>
      <c r="I224" s="33">
        <v>36.22</v>
      </c>
      <c r="J224" s="2">
        <v>8</v>
      </c>
      <c r="K224" s="33">
        <f t="shared" si="12"/>
        <v>289.76</v>
      </c>
      <c r="L224" s="3">
        <v>0</v>
      </c>
      <c r="M224" s="33">
        <f t="shared" si="13"/>
        <v>289.76</v>
      </c>
      <c r="N224" s="33">
        <v>165.03</v>
      </c>
      <c r="O224" s="33">
        <f t="shared" si="14"/>
        <v>124.72999999999999</v>
      </c>
      <c r="P224" s="4">
        <f t="shared" si="15"/>
        <v>0.43045969077857538</v>
      </c>
    </row>
    <row r="225" spans="1:16" x14ac:dyDescent="0.25">
      <c r="A225" s="5" t="s">
        <v>297</v>
      </c>
      <c r="B225" s="31">
        <v>45162</v>
      </c>
      <c r="C225" s="5" t="s">
        <v>62</v>
      </c>
      <c r="D225" s="5" t="s">
        <v>35</v>
      </c>
      <c r="E225" s="5" t="s">
        <v>36</v>
      </c>
      <c r="F225" s="5" t="s">
        <v>66</v>
      </c>
      <c r="G225" s="5" t="s">
        <v>77</v>
      </c>
      <c r="H225" s="5" t="s">
        <v>68</v>
      </c>
      <c r="I225" s="32">
        <v>23.02</v>
      </c>
      <c r="J225" s="6">
        <v>26</v>
      </c>
      <c r="K225" s="32">
        <f t="shared" si="12"/>
        <v>598.52</v>
      </c>
      <c r="L225" s="7">
        <v>0.05</v>
      </c>
      <c r="M225" s="32">
        <f t="shared" si="13"/>
        <v>598.22073999999998</v>
      </c>
      <c r="N225" s="32">
        <v>383.27</v>
      </c>
      <c r="O225" s="32">
        <f t="shared" si="14"/>
        <v>214.95074</v>
      </c>
      <c r="P225" s="8">
        <f t="shared" si="15"/>
        <v>0.35931676324027151</v>
      </c>
    </row>
    <row r="226" spans="1:16" x14ac:dyDescent="0.25">
      <c r="A226" s="1" t="s">
        <v>298</v>
      </c>
      <c r="B226" s="30">
        <v>45255</v>
      </c>
      <c r="C226" s="1" t="s">
        <v>17</v>
      </c>
      <c r="D226" s="1" t="s">
        <v>18</v>
      </c>
      <c r="E226" s="1" t="s">
        <v>19</v>
      </c>
      <c r="F226" s="1" t="s">
        <v>40</v>
      </c>
      <c r="G226" s="1" t="s">
        <v>59</v>
      </c>
      <c r="H226" s="1" t="s">
        <v>32</v>
      </c>
      <c r="I226" s="33">
        <v>9.39</v>
      </c>
      <c r="J226" s="2">
        <v>19</v>
      </c>
      <c r="K226" s="33">
        <f t="shared" si="12"/>
        <v>178.41000000000003</v>
      </c>
      <c r="L226" s="3">
        <v>0</v>
      </c>
      <c r="M226" s="33">
        <f t="shared" si="13"/>
        <v>178.41000000000003</v>
      </c>
      <c r="N226" s="33">
        <v>83.04</v>
      </c>
      <c r="O226" s="33">
        <f t="shared" si="14"/>
        <v>95.370000000000019</v>
      </c>
      <c r="P226" s="4">
        <f t="shared" si="15"/>
        <v>0.53455523793509341</v>
      </c>
    </row>
    <row r="227" spans="1:16" x14ac:dyDescent="0.25">
      <c r="A227" s="5" t="s">
        <v>299</v>
      </c>
      <c r="B227" s="31">
        <v>45186</v>
      </c>
      <c r="C227" s="5" t="s">
        <v>71</v>
      </c>
      <c r="D227" s="5" t="s">
        <v>35</v>
      </c>
      <c r="E227" s="5" t="s">
        <v>44</v>
      </c>
      <c r="F227" s="5" t="s">
        <v>40</v>
      </c>
      <c r="G227" s="5" t="s">
        <v>96</v>
      </c>
      <c r="H227" s="5" t="s">
        <v>51</v>
      </c>
      <c r="I227" s="32">
        <v>11.79</v>
      </c>
      <c r="J227" s="6">
        <v>28</v>
      </c>
      <c r="K227" s="32">
        <f t="shared" si="12"/>
        <v>330.12</v>
      </c>
      <c r="L227" s="7">
        <v>0.2</v>
      </c>
      <c r="M227" s="32">
        <f t="shared" si="13"/>
        <v>329.45976000000002</v>
      </c>
      <c r="N227" s="32">
        <v>158.11000000000001</v>
      </c>
      <c r="O227" s="32">
        <f t="shared" si="14"/>
        <v>171.34976</v>
      </c>
      <c r="P227" s="8">
        <f t="shared" si="15"/>
        <v>0.52009313671569479</v>
      </c>
    </row>
    <row r="228" spans="1:16" x14ac:dyDescent="0.25">
      <c r="A228" s="1" t="s">
        <v>300</v>
      </c>
      <c r="B228" s="30">
        <v>45039</v>
      </c>
      <c r="C228" s="1" t="s">
        <v>74</v>
      </c>
      <c r="D228" s="1" t="s">
        <v>49</v>
      </c>
      <c r="E228" s="1" t="s">
        <v>83</v>
      </c>
      <c r="F228" s="1" t="s">
        <v>45</v>
      </c>
      <c r="G228" s="1" t="s">
        <v>50</v>
      </c>
      <c r="H228" s="1" t="s">
        <v>68</v>
      </c>
      <c r="I228" s="33">
        <v>52.17</v>
      </c>
      <c r="J228" s="2">
        <v>15</v>
      </c>
      <c r="K228" s="33">
        <f t="shared" si="12"/>
        <v>782.55000000000007</v>
      </c>
      <c r="L228" s="3">
        <v>0</v>
      </c>
      <c r="M228" s="33">
        <f t="shared" si="13"/>
        <v>782.55000000000007</v>
      </c>
      <c r="N228" s="33">
        <v>452.59</v>
      </c>
      <c r="O228" s="33">
        <f t="shared" si="14"/>
        <v>329.96000000000009</v>
      </c>
      <c r="P228" s="4">
        <f t="shared" si="15"/>
        <v>0.42164717909398769</v>
      </c>
    </row>
    <row r="229" spans="1:16" x14ac:dyDescent="0.25">
      <c r="A229" s="5" t="s">
        <v>301</v>
      </c>
      <c r="B229" s="31">
        <v>45157</v>
      </c>
      <c r="C229" s="5" t="s">
        <v>62</v>
      </c>
      <c r="D229" s="5" t="s">
        <v>35</v>
      </c>
      <c r="E229" s="5" t="s">
        <v>19</v>
      </c>
      <c r="F229" s="5" t="s">
        <v>40</v>
      </c>
      <c r="G229" s="5" t="s">
        <v>59</v>
      </c>
      <c r="H229" s="5" t="s">
        <v>38</v>
      </c>
      <c r="I229" s="32">
        <v>12.62</v>
      </c>
      <c r="J229" s="6">
        <v>13</v>
      </c>
      <c r="K229" s="32">
        <f t="shared" si="12"/>
        <v>164.06</v>
      </c>
      <c r="L229" s="7">
        <v>0.05</v>
      </c>
      <c r="M229" s="32">
        <f t="shared" si="13"/>
        <v>163.97797</v>
      </c>
      <c r="N229" s="32">
        <v>107.28</v>
      </c>
      <c r="O229" s="32">
        <f t="shared" si="14"/>
        <v>56.697969999999998</v>
      </c>
      <c r="P229" s="8">
        <f t="shared" si="15"/>
        <v>0.34576577573194739</v>
      </c>
    </row>
    <row r="230" spans="1:16" x14ac:dyDescent="0.25">
      <c r="A230" s="1" t="s">
        <v>302</v>
      </c>
      <c r="B230" s="30">
        <v>45267</v>
      </c>
      <c r="C230" s="1" t="s">
        <v>82</v>
      </c>
      <c r="D230" s="1" t="s">
        <v>18</v>
      </c>
      <c r="E230" s="1" t="s">
        <v>19</v>
      </c>
      <c r="F230" s="1" t="s">
        <v>45</v>
      </c>
      <c r="G230" s="1" t="s">
        <v>46</v>
      </c>
      <c r="H230" s="1" t="s">
        <v>32</v>
      </c>
      <c r="I230" s="33">
        <v>62.51</v>
      </c>
      <c r="J230" s="2">
        <v>18</v>
      </c>
      <c r="K230" s="33">
        <f t="shared" si="12"/>
        <v>1125.18</v>
      </c>
      <c r="L230" s="3">
        <v>0</v>
      </c>
      <c r="M230" s="33">
        <f t="shared" si="13"/>
        <v>1125.18</v>
      </c>
      <c r="N230" s="33">
        <v>769.22</v>
      </c>
      <c r="O230" s="33">
        <f t="shared" si="14"/>
        <v>355.96000000000004</v>
      </c>
      <c r="P230" s="4">
        <f t="shared" si="15"/>
        <v>0.31635827156543844</v>
      </c>
    </row>
    <row r="231" spans="1:16" x14ac:dyDescent="0.25">
      <c r="A231" s="5" t="s">
        <v>303</v>
      </c>
      <c r="B231" s="31">
        <v>44973</v>
      </c>
      <c r="C231" s="5" t="s">
        <v>43</v>
      </c>
      <c r="D231" s="5" t="s">
        <v>25</v>
      </c>
      <c r="E231" s="5" t="s">
        <v>19</v>
      </c>
      <c r="F231" s="5" t="s">
        <v>20</v>
      </c>
      <c r="G231" s="5" t="s">
        <v>113</v>
      </c>
      <c r="H231" s="5" t="s">
        <v>51</v>
      </c>
      <c r="I231" s="32">
        <v>25.69</v>
      </c>
      <c r="J231" s="6">
        <v>25</v>
      </c>
      <c r="K231" s="32">
        <f t="shared" si="12"/>
        <v>642.25</v>
      </c>
      <c r="L231" s="7">
        <v>0.15</v>
      </c>
      <c r="M231" s="32">
        <f t="shared" si="13"/>
        <v>641.28662500000007</v>
      </c>
      <c r="N231" s="32">
        <v>349.13</v>
      </c>
      <c r="O231" s="32">
        <f t="shared" si="14"/>
        <v>292.15662500000008</v>
      </c>
      <c r="P231" s="8">
        <f t="shared" si="15"/>
        <v>0.45557885290372313</v>
      </c>
    </row>
    <row r="232" spans="1:16" x14ac:dyDescent="0.25">
      <c r="A232" s="1" t="s">
        <v>304</v>
      </c>
      <c r="B232" s="30">
        <v>45122</v>
      </c>
      <c r="C232" s="1" t="s">
        <v>34</v>
      </c>
      <c r="D232" s="1" t="s">
        <v>35</v>
      </c>
      <c r="E232" s="1" t="s">
        <v>83</v>
      </c>
      <c r="F232" s="1" t="s">
        <v>66</v>
      </c>
      <c r="G232" s="1" t="s">
        <v>72</v>
      </c>
      <c r="H232" s="1" t="s">
        <v>51</v>
      </c>
      <c r="I232" s="33">
        <v>18.399999999999999</v>
      </c>
      <c r="J232" s="2">
        <v>12</v>
      </c>
      <c r="K232" s="33">
        <f t="shared" si="12"/>
        <v>220.79999999999998</v>
      </c>
      <c r="L232" s="3">
        <v>0</v>
      </c>
      <c r="M232" s="33">
        <f t="shared" si="13"/>
        <v>220.79999999999998</v>
      </c>
      <c r="N232" s="33">
        <v>109.22</v>
      </c>
      <c r="O232" s="33">
        <f t="shared" si="14"/>
        <v>111.57999999999998</v>
      </c>
      <c r="P232" s="4">
        <f t="shared" si="15"/>
        <v>0.50534420289855064</v>
      </c>
    </row>
    <row r="233" spans="1:16" x14ac:dyDescent="0.25">
      <c r="A233" s="5" t="s">
        <v>305</v>
      </c>
      <c r="B233" s="31">
        <v>45182</v>
      </c>
      <c r="C233" s="5" t="s">
        <v>71</v>
      </c>
      <c r="D233" s="5" t="s">
        <v>35</v>
      </c>
      <c r="E233" s="5" t="s">
        <v>44</v>
      </c>
      <c r="F233" s="5" t="s">
        <v>26</v>
      </c>
      <c r="G233" s="5" t="s">
        <v>120</v>
      </c>
      <c r="H233" s="5" t="s">
        <v>28</v>
      </c>
      <c r="I233" s="32">
        <v>250.06</v>
      </c>
      <c r="J233" s="6">
        <v>15</v>
      </c>
      <c r="K233" s="32">
        <f t="shared" si="12"/>
        <v>3750.9</v>
      </c>
      <c r="L233" s="7">
        <v>0.15</v>
      </c>
      <c r="M233" s="32">
        <f t="shared" si="13"/>
        <v>3745.2736500000001</v>
      </c>
      <c r="N233" s="32">
        <v>2186.75</v>
      </c>
      <c r="O233" s="32">
        <f t="shared" si="14"/>
        <v>1558.5236500000001</v>
      </c>
      <c r="P233" s="8">
        <f t="shared" si="15"/>
        <v>0.41613078125813319</v>
      </c>
    </row>
    <row r="234" spans="1:16" x14ac:dyDescent="0.25">
      <c r="A234" s="1" t="s">
        <v>306</v>
      </c>
      <c r="B234" s="30">
        <v>45024</v>
      </c>
      <c r="C234" s="1" t="s">
        <v>74</v>
      </c>
      <c r="D234" s="1" t="s">
        <v>49</v>
      </c>
      <c r="E234" s="1" t="s">
        <v>83</v>
      </c>
      <c r="F234" s="1" t="s">
        <v>20</v>
      </c>
      <c r="G234" s="1" t="s">
        <v>21</v>
      </c>
      <c r="H234" s="1" t="s">
        <v>38</v>
      </c>
      <c r="I234" s="33">
        <v>4.97</v>
      </c>
      <c r="J234" s="2">
        <v>29</v>
      </c>
      <c r="K234" s="33">
        <f t="shared" si="12"/>
        <v>144.13</v>
      </c>
      <c r="L234" s="3">
        <v>0</v>
      </c>
      <c r="M234" s="33">
        <f t="shared" si="13"/>
        <v>144.13</v>
      </c>
      <c r="N234" s="33">
        <v>66.040000000000006</v>
      </c>
      <c r="O234" s="33">
        <f t="shared" si="14"/>
        <v>78.089999999999989</v>
      </c>
      <c r="P234" s="4">
        <f t="shared" si="15"/>
        <v>0.541802539374176</v>
      </c>
    </row>
    <row r="235" spans="1:16" x14ac:dyDescent="0.25">
      <c r="A235" s="5" t="s">
        <v>307</v>
      </c>
      <c r="B235" s="31">
        <v>45244</v>
      </c>
      <c r="C235" s="5" t="s">
        <v>17</v>
      </c>
      <c r="D235" s="5" t="s">
        <v>18</v>
      </c>
      <c r="E235" s="5" t="s">
        <v>19</v>
      </c>
      <c r="F235" s="5" t="s">
        <v>26</v>
      </c>
      <c r="G235" s="5" t="s">
        <v>27</v>
      </c>
      <c r="H235" s="5" t="s">
        <v>64</v>
      </c>
      <c r="I235" s="32">
        <v>142.57</v>
      </c>
      <c r="J235" s="6">
        <v>2</v>
      </c>
      <c r="K235" s="32">
        <f t="shared" si="12"/>
        <v>285.14</v>
      </c>
      <c r="L235" s="7">
        <v>0.2</v>
      </c>
      <c r="M235" s="32">
        <f t="shared" si="13"/>
        <v>284.56971999999996</v>
      </c>
      <c r="N235" s="32">
        <v>170.92</v>
      </c>
      <c r="O235" s="32">
        <f t="shared" si="14"/>
        <v>113.64971999999997</v>
      </c>
      <c r="P235" s="8">
        <f t="shared" si="15"/>
        <v>0.39937390387143085</v>
      </c>
    </row>
    <row r="236" spans="1:16" x14ac:dyDescent="0.25">
      <c r="A236" s="1" t="s">
        <v>308</v>
      </c>
      <c r="B236" s="30">
        <v>45288</v>
      </c>
      <c r="C236" s="1" t="s">
        <v>82</v>
      </c>
      <c r="D236" s="1" t="s">
        <v>18</v>
      </c>
      <c r="E236" s="1" t="s">
        <v>19</v>
      </c>
      <c r="F236" s="1" t="s">
        <v>26</v>
      </c>
      <c r="G236" s="1" t="s">
        <v>120</v>
      </c>
      <c r="H236" s="1" t="s">
        <v>56</v>
      </c>
      <c r="I236" s="33">
        <v>201.51</v>
      </c>
      <c r="J236" s="2">
        <v>18</v>
      </c>
      <c r="K236" s="33">
        <f t="shared" si="12"/>
        <v>3627.18</v>
      </c>
      <c r="L236" s="3">
        <v>0.05</v>
      </c>
      <c r="M236" s="33">
        <f t="shared" si="13"/>
        <v>3625.3664100000001</v>
      </c>
      <c r="N236" s="33">
        <v>2316.27</v>
      </c>
      <c r="O236" s="33">
        <f t="shared" si="14"/>
        <v>1309.0964100000001</v>
      </c>
      <c r="P236" s="4">
        <f t="shared" si="15"/>
        <v>0.36109354530043214</v>
      </c>
    </row>
    <row r="237" spans="1:16" x14ac:dyDescent="0.25">
      <c r="A237" s="5" t="s">
        <v>309</v>
      </c>
      <c r="B237" s="31">
        <v>44931</v>
      </c>
      <c r="C237" s="5" t="s">
        <v>24</v>
      </c>
      <c r="D237" s="5" t="s">
        <v>25</v>
      </c>
      <c r="E237" s="5" t="s">
        <v>36</v>
      </c>
      <c r="F237" s="5" t="s">
        <v>26</v>
      </c>
      <c r="G237" s="5" t="s">
        <v>207</v>
      </c>
      <c r="H237" s="5" t="s">
        <v>32</v>
      </c>
      <c r="I237" s="32">
        <v>41.61</v>
      </c>
      <c r="J237" s="6">
        <v>25</v>
      </c>
      <c r="K237" s="32">
        <f t="shared" si="12"/>
        <v>1040.25</v>
      </c>
      <c r="L237" s="7">
        <v>0.1</v>
      </c>
      <c r="M237" s="32">
        <f t="shared" si="13"/>
        <v>1039.20975</v>
      </c>
      <c r="N237" s="32">
        <v>529.66999999999996</v>
      </c>
      <c r="O237" s="32">
        <f t="shared" si="14"/>
        <v>509.53975000000003</v>
      </c>
      <c r="P237" s="8">
        <f t="shared" si="15"/>
        <v>0.49031463571237666</v>
      </c>
    </row>
    <row r="238" spans="1:16" x14ac:dyDescent="0.25">
      <c r="A238" s="1" t="s">
        <v>310</v>
      </c>
      <c r="B238" s="30">
        <v>45007</v>
      </c>
      <c r="C238" s="1" t="s">
        <v>58</v>
      </c>
      <c r="D238" s="1" t="s">
        <v>25</v>
      </c>
      <c r="E238" s="1" t="s">
        <v>44</v>
      </c>
      <c r="F238" s="1" t="s">
        <v>66</v>
      </c>
      <c r="G238" s="1" t="s">
        <v>125</v>
      </c>
      <c r="H238" s="1" t="s">
        <v>38</v>
      </c>
      <c r="I238" s="33">
        <v>41.87</v>
      </c>
      <c r="J238" s="2">
        <v>19</v>
      </c>
      <c r="K238" s="33">
        <f t="shared" si="12"/>
        <v>795.53</v>
      </c>
      <c r="L238" s="3">
        <v>0</v>
      </c>
      <c r="M238" s="33">
        <f t="shared" si="13"/>
        <v>795.53</v>
      </c>
      <c r="N238" s="33">
        <v>482.51</v>
      </c>
      <c r="O238" s="33">
        <f t="shared" si="14"/>
        <v>313.02</v>
      </c>
      <c r="P238" s="4">
        <f t="shared" si="15"/>
        <v>0.39347353336769197</v>
      </c>
    </row>
    <row r="239" spans="1:16" x14ac:dyDescent="0.25">
      <c r="A239" s="5" t="s">
        <v>311</v>
      </c>
      <c r="B239" s="31">
        <v>45125</v>
      </c>
      <c r="C239" s="5" t="s">
        <v>34</v>
      </c>
      <c r="D239" s="5" t="s">
        <v>35</v>
      </c>
      <c r="E239" s="5" t="s">
        <v>83</v>
      </c>
      <c r="F239" s="5" t="s">
        <v>45</v>
      </c>
      <c r="G239" s="5" t="s">
        <v>105</v>
      </c>
      <c r="H239" s="5" t="s">
        <v>56</v>
      </c>
      <c r="I239" s="32">
        <v>38.79</v>
      </c>
      <c r="J239" s="6">
        <v>11</v>
      </c>
      <c r="K239" s="32">
        <f t="shared" si="12"/>
        <v>426.69</v>
      </c>
      <c r="L239" s="7">
        <v>0.15</v>
      </c>
      <c r="M239" s="32">
        <f t="shared" si="13"/>
        <v>426.04996500000004</v>
      </c>
      <c r="N239" s="32">
        <v>235.54</v>
      </c>
      <c r="O239" s="32">
        <f t="shared" si="14"/>
        <v>190.50996500000005</v>
      </c>
      <c r="P239" s="8">
        <f t="shared" si="15"/>
        <v>0.44715404447926671</v>
      </c>
    </row>
    <row r="240" spans="1:16" x14ac:dyDescent="0.25">
      <c r="A240" s="1" t="s">
        <v>312</v>
      </c>
      <c r="B240" s="30">
        <v>45059</v>
      </c>
      <c r="C240" s="1" t="s">
        <v>53</v>
      </c>
      <c r="D240" s="1" t="s">
        <v>49</v>
      </c>
      <c r="E240" s="1" t="s">
        <v>44</v>
      </c>
      <c r="F240" s="1" t="s">
        <v>40</v>
      </c>
      <c r="G240" s="1" t="s">
        <v>59</v>
      </c>
      <c r="H240" s="1" t="s">
        <v>22</v>
      </c>
      <c r="I240" s="33">
        <v>13.25</v>
      </c>
      <c r="J240" s="2">
        <v>10</v>
      </c>
      <c r="K240" s="33">
        <f t="shared" si="12"/>
        <v>132.5</v>
      </c>
      <c r="L240" s="3">
        <v>0</v>
      </c>
      <c r="M240" s="33">
        <f t="shared" si="13"/>
        <v>132.5</v>
      </c>
      <c r="N240" s="33">
        <v>86.29</v>
      </c>
      <c r="O240" s="33">
        <f t="shared" si="14"/>
        <v>46.209999999999994</v>
      </c>
      <c r="P240" s="4">
        <f t="shared" si="15"/>
        <v>0.34875471698113203</v>
      </c>
    </row>
    <row r="241" spans="1:16" x14ac:dyDescent="0.25">
      <c r="A241" s="5" t="s">
        <v>313</v>
      </c>
      <c r="B241" s="31">
        <v>44944</v>
      </c>
      <c r="C241" s="5" t="s">
        <v>24</v>
      </c>
      <c r="D241" s="5" t="s">
        <v>25</v>
      </c>
      <c r="E241" s="5" t="s">
        <v>83</v>
      </c>
      <c r="F241" s="5" t="s">
        <v>66</v>
      </c>
      <c r="G241" s="5" t="s">
        <v>77</v>
      </c>
      <c r="H241" s="5" t="s">
        <v>51</v>
      </c>
      <c r="I241" s="32">
        <v>19.7</v>
      </c>
      <c r="J241" s="6">
        <v>9</v>
      </c>
      <c r="K241" s="32">
        <f t="shared" si="12"/>
        <v>177.29999999999998</v>
      </c>
      <c r="L241" s="7">
        <v>0.05</v>
      </c>
      <c r="M241" s="32">
        <f t="shared" si="13"/>
        <v>177.21134999999998</v>
      </c>
      <c r="N241" s="32">
        <v>94.4</v>
      </c>
      <c r="O241" s="32">
        <f t="shared" si="14"/>
        <v>82.811349999999976</v>
      </c>
      <c r="P241" s="8">
        <f t="shared" si="15"/>
        <v>0.46730274330622718</v>
      </c>
    </row>
    <row r="242" spans="1:16" x14ac:dyDescent="0.25">
      <c r="A242" s="1" t="s">
        <v>314</v>
      </c>
      <c r="B242" s="30">
        <v>44972</v>
      </c>
      <c r="C242" s="1" t="s">
        <v>43</v>
      </c>
      <c r="D242" s="1" t="s">
        <v>25</v>
      </c>
      <c r="E242" s="1" t="s">
        <v>36</v>
      </c>
      <c r="F242" s="1" t="s">
        <v>45</v>
      </c>
      <c r="G242" s="1" t="s">
        <v>50</v>
      </c>
      <c r="H242" s="1" t="s">
        <v>22</v>
      </c>
      <c r="I242" s="33">
        <v>37.03</v>
      </c>
      <c r="J242" s="2">
        <v>13</v>
      </c>
      <c r="K242" s="33">
        <f t="shared" si="12"/>
        <v>481.39</v>
      </c>
      <c r="L242" s="3">
        <v>0</v>
      </c>
      <c r="M242" s="33">
        <f t="shared" si="13"/>
        <v>481.39</v>
      </c>
      <c r="N242" s="33">
        <v>321.77</v>
      </c>
      <c r="O242" s="33">
        <f t="shared" si="14"/>
        <v>159.62</v>
      </c>
      <c r="P242" s="4">
        <f t="shared" si="15"/>
        <v>0.33158146201624467</v>
      </c>
    </row>
    <row r="243" spans="1:16" x14ac:dyDescent="0.25">
      <c r="A243" s="5" t="s">
        <v>315</v>
      </c>
      <c r="B243" s="31">
        <v>45042</v>
      </c>
      <c r="C243" s="5" t="s">
        <v>74</v>
      </c>
      <c r="D243" s="5" t="s">
        <v>49</v>
      </c>
      <c r="E243" s="5" t="s">
        <v>44</v>
      </c>
      <c r="F243" s="5" t="s">
        <v>66</v>
      </c>
      <c r="G243" s="5" t="s">
        <v>67</v>
      </c>
      <c r="H243" s="5" t="s">
        <v>32</v>
      </c>
      <c r="I243" s="32">
        <v>63.1</v>
      </c>
      <c r="J243" s="6">
        <v>30</v>
      </c>
      <c r="K243" s="32">
        <f t="shared" si="12"/>
        <v>1893</v>
      </c>
      <c r="L243" s="7">
        <v>0</v>
      </c>
      <c r="M243" s="32">
        <f t="shared" si="13"/>
        <v>1893</v>
      </c>
      <c r="N243" s="32">
        <v>952.02</v>
      </c>
      <c r="O243" s="32">
        <f t="shared" si="14"/>
        <v>940.98</v>
      </c>
      <c r="P243" s="8">
        <f t="shared" si="15"/>
        <v>0.49708399366085582</v>
      </c>
    </row>
    <row r="244" spans="1:16" x14ac:dyDescent="0.25">
      <c r="A244" s="1" t="s">
        <v>316</v>
      </c>
      <c r="B244" s="30">
        <v>45040</v>
      </c>
      <c r="C244" s="1" t="s">
        <v>74</v>
      </c>
      <c r="D244" s="1" t="s">
        <v>49</v>
      </c>
      <c r="E244" s="1" t="s">
        <v>19</v>
      </c>
      <c r="F244" s="1" t="s">
        <v>66</v>
      </c>
      <c r="G244" s="1" t="s">
        <v>67</v>
      </c>
      <c r="H244" s="1" t="s">
        <v>22</v>
      </c>
      <c r="I244" s="33">
        <v>65.900000000000006</v>
      </c>
      <c r="J244" s="2">
        <v>8</v>
      </c>
      <c r="K244" s="33">
        <f t="shared" si="12"/>
        <v>527.20000000000005</v>
      </c>
      <c r="L244" s="3">
        <v>0.1</v>
      </c>
      <c r="M244" s="33">
        <f t="shared" si="13"/>
        <v>526.67280000000005</v>
      </c>
      <c r="N244" s="33">
        <v>339.45</v>
      </c>
      <c r="O244" s="33">
        <f t="shared" si="14"/>
        <v>187.22280000000006</v>
      </c>
      <c r="P244" s="4">
        <f t="shared" si="15"/>
        <v>0.35548218932133963</v>
      </c>
    </row>
    <row r="245" spans="1:16" x14ac:dyDescent="0.25">
      <c r="A245" s="5" t="s">
        <v>317</v>
      </c>
      <c r="B245" s="31">
        <v>45122</v>
      </c>
      <c r="C245" s="5" t="s">
        <v>34</v>
      </c>
      <c r="D245" s="5" t="s">
        <v>35</v>
      </c>
      <c r="E245" s="5" t="s">
        <v>36</v>
      </c>
      <c r="F245" s="5" t="s">
        <v>20</v>
      </c>
      <c r="G245" s="5" t="s">
        <v>98</v>
      </c>
      <c r="H245" s="5" t="s">
        <v>32</v>
      </c>
      <c r="I245" s="32">
        <v>13.88</v>
      </c>
      <c r="J245" s="6">
        <v>16</v>
      </c>
      <c r="K245" s="32">
        <f t="shared" si="12"/>
        <v>222.08</v>
      </c>
      <c r="L245" s="7">
        <v>0.2</v>
      </c>
      <c r="M245" s="32">
        <f t="shared" si="13"/>
        <v>221.63584</v>
      </c>
      <c r="N245" s="32">
        <v>105.39</v>
      </c>
      <c r="O245" s="32">
        <f t="shared" si="14"/>
        <v>116.24584</v>
      </c>
      <c r="P245" s="8">
        <f t="shared" si="15"/>
        <v>0.52449026294664258</v>
      </c>
    </row>
    <row r="246" spans="1:16" x14ac:dyDescent="0.25">
      <c r="A246" s="1" t="s">
        <v>318</v>
      </c>
      <c r="B246" s="30">
        <v>45276</v>
      </c>
      <c r="C246" s="1" t="s">
        <v>82</v>
      </c>
      <c r="D246" s="1" t="s">
        <v>18</v>
      </c>
      <c r="E246" s="1" t="s">
        <v>36</v>
      </c>
      <c r="F246" s="1" t="s">
        <v>26</v>
      </c>
      <c r="G246" s="1" t="s">
        <v>94</v>
      </c>
      <c r="H246" s="1" t="s">
        <v>32</v>
      </c>
      <c r="I246" s="33">
        <v>99.63</v>
      </c>
      <c r="J246" s="2">
        <v>19</v>
      </c>
      <c r="K246" s="33">
        <f t="shared" si="12"/>
        <v>1892.9699999999998</v>
      </c>
      <c r="L246" s="3">
        <v>0.05</v>
      </c>
      <c r="M246" s="33">
        <f t="shared" si="13"/>
        <v>1892.0235149999999</v>
      </c>
      <c r="N246" s="33">
        <v>1202.5899999999999</v>
      </c>
      <c r="O246" s="33">
        <f t="shared" si="14"/>
        <v>689.43351499999994</v>
      </c>
      <c r="P246" s="4">
        <f t="shared" si="15"/>
        <v>0.36438950654373869</v>
      </c>
    </row>
    <row r="247" spans="1:16" x14ac:dyDescent="0.25">
      <c r="A247" s="5" t="s">
        <v>319</v>
      </c>
      <c r="B247" s="31">
        <v>44935</v>
      </c>
      <c r="C247" s="5" t="s">
        <v>24</v>
      </c>
      <c r="D247" s="5" t="s">
        <v>25</v>
      </c>
      <c r="E247" s="5" t="s">
        <v>83</v>
      </c>
      <c r="F247" s="5" t="s">
        <v>20</v>
      </c>
      <c r="G247" s="5" t="s">
        <v>21</v>
      </c>
      <c r="H247" s="5" t="s">
        <v>22</v>
      </c>
      <c r="I247" s="32">
        <v>5.32</v>
      </c>
      <c r="J247" s="6">
        <v>13</v>
      </c>
      <c r="K247" s="32">
        <f t="shared" si="12"/>
        <v>69.16</v>
      </c>
      <c r="L247" s="7">
        <v>0.05</v>
      </c>
      <c r="M247" s="32">
        <f t="shared" si="13"/>
        <v>69.125420000000005</v>
      </c>
      <c r="N247" s="32">
        <v>39.79</v>
      </c>
      <c r="O247" s="32">
        <f t="shared" si="14"/>
        <v>29.335420000000006</v>
      </c>
      <c r="P247" s="8">
        <f t="shared" si="15"/>
        <v>0.42437962763915221</v>
      </c>
    </row>
    <row r="248" spans="1:16" x14ac:dyDescent="0.25">
      <c r="A248" s="1" t="s">
        <v>320</v>
      </c>
      <c r="B248" s="30">
        <v>45252</v>
      </c>
      <c r="C248" s="1" t="s">
        <v>17</v>
      </c>
      <c r="D248" s="1" t="s">
        <v>18</v>
      </c>
      <c r="E248" s="1" t="s">
        <v>36</v>
      </c>
      <c r="F248" s="1" t="s">
        <v>20</v>
      </c>
      <c r="G248" s="1" t="s">
        <v>113</v>
      </c>
      <c r="H248" s="1" t="s">
        <v>68</v>
      </c>
      <c r="I248" s="33">
        <v>22.61</v>
      </c>
      <c r="J248" s="2">
        <v>24</v>
      </c>
      <c r="K248" s="33">
        <f t="shared" si="12"/>
        <v>542.64</v>
      </c>
      <c r="L248" s="3">
        <v>0.1</v>
      </c>
      <c r="M248" s="33">
        <f t="shared" si="13"/>
        <v>542.09735999999998</v>
      </c>
      <c r="N248" s="33">
        <v>267.13</v>
      </c>
      <c r="O248" s="33">
        <f t="shared" si="14"/>
        <v>274.96735999999999</v>
      </c>
      <c r="P248" s="4">
        <f t="shared" si="15"/>
        <v>0.50722873839488902</v>
      </c>
    </row>
    <row r="249" spans="1:16" x14ac:dyDescent="0.25">
      <c r="A249" s="5" t="s">
        <v>321</v>
      </c>
      <c r="B249" s="31">
        <v>45278</v>
      </c>
      <c r="C249" s="5" t="s">
        <v>82</v>
      </c>
      <c r="D249" s="5" t="s">
        <v>18</v>
      </c>
      <c r="E249" s="5" t="s">
        <v>83</v>
      </c>
      <c r="F249" s="5" t="s">
        <v>26</v>
      </c>
      <c r="G249" s="5" t="s">
        <v>207</v>
      </c>
      <c r="H249" s="5" t="s">
        <v>28</v>
      </c>
      <c r="I249" s="32">
        <v>40.67</v>
      </c>
      <c r="J249" s="6">
        <v>27</v>
      </c>
      <c r="K249" s="32">
        <f t="shared" si="12"/>
        <v>1098.0900000000001</v>
      </c>
      <c r="L249" s="7">
        <v>0</v>
      </c>
      <c r="M249" s="32">
        <f t="shared" si="13"/>
        <v>1098.0900000000001</v>
      </c>
      <c r="N249" s="32">
        <v>753.6</v>
      </c>
      <c r="O249" s="32">
        <f t="shared" si="14"/>
        <v>344.49000000000012</v>
      </c>
      <c r="P249" s="8">
        <f t="shared" si="15"/>
        <v>0.31371745485342739</v>
      </c>
    </row>
    <row r="250" spans="1:16" x14ac:dyDescent="0.25">
      <c r="A250" s="1" t="s">
        <v>322</v>
      </c>
      <c r="B250" s="30">
        <v>45232</v>
      </c>
      <c r="C250" s="1" t="s">
        <v>17</v>
      </c>
      <c r="D250" s="1" t="s">
        <v>18</v>
      </c>
      <c r="E250" s="1" t="s">
        <v>19</v>
      </c>
      <c r="F250" s="1" t="s">
        <v>66</v>
      </c>
      <c r="G250" s="1" t="s">
        <v>67</v>
      </c>
      <c r="H250" s="1" t="s">
        <v>22</v>
      </c>
      <c r="I250" s="33">
        <v>56.04</v>
      </c>
      <c r="J250" s="2">
        <v>5</v>
      </c>
      <c r="K250" s="33">
        <f t="shared" si="12"/>
        <v>280.2</v>
      </c>
      <c r="L250" s="3">
        <v>0</v>
      </c>
      <c r="M250" s="33">
        <f t="shared" si="13"/>
        <v>280.2</v>
      </c>
      <c r="N250" s="33">
        <v>141.41</v>
      </c>
      <c r="O250" s="33">
        <f t="shared" si="14"/>
        <v>138.79</v>
      </c>
      <c r="P250" s="4">
        <f t="shared" si="15"/>
        <v>0.49532476802284081</v>
      </c>
    </row>
    <row r="251" spans="1:16" x14ac:dyDescent="0.25">
      <c r="A251" s="5" t="s">
        <v>323</v>
      </c>
      <c r="B251" s="31">
        <v>45150</v>
      </c>
      <c r="C251" s="5" t="s">
        <v>62</v>
      </c>
      <c r="D251" s="5" t="s">
        <v>35</v>
      </c>
      <c r="E251" s="5" t="s">
        <v>19</v>
      </c>
      <c r="F251" s="5" t="s">
        <v>40</v>
      </c>
      <c r="G251" s="5" t="s">
        <v>96</v>
      </c>
      <c r="H251" s="5" t="s">
        <v>68</v>
      </c>
      <c r="I251" s="32">
        <v>14.76</v>
      </c>
      <c r="J251" s="6">
        <v>1</v>
      </c>
      <c r="K251" s="32">
        <f t="shared" si="12"/>
        <v>14.76</v>
      </c>
      <c r="L251" s="7">
        <v>0</v>
      </c>
      <c r="M251" s="32">
        <f t="shared" si="13"/>
        <v>14.76</v>
      </c>
      <c r="N251" s="32">
        <v>8.6</v>
      </c>
      <c r="O251" s="32">
        <f t="shared" si="14"/>
        <v>6.16</v>
      </c>
      <c r="P251" s="8">
        <f t="shared" si="15"/>
        <v>0.41734417344173441</v>
      </c>
    </row>
    <row r="252" spans="1:16" x14ac:dyDescent="0.25">
      <c r="A252" s="1" t="s">
        <v>324</v>
      </c>
      <c r="B252" s="30">
        <v>45108</v>
      </c>
      <c r="C252" s="1" t="s">
        <v>34</v>
      </c>
      <c r="D252" s="1" t="s">
        <v>35</v>
      </c>
      <c r="E252" s="1" t="s">
        <v>19</v>
      </c>
      <c r="F252" s="1" t="s">
        <v>40</v>
      </c>
      <c r="G252" s="1" t="s">
        <v>41</v>
      </c>
      <c r="H252" s="1" t="s">
        <v>38</v>
      </c>
      <c r="I252" s="33">
        <v>49.97</v>
      </c>
      <c r="J252" s="2">
        <v>27</v>
      </c>
      <c r="K252" s="33">
        <f t="shared" si="12"/>
        <v>1349.19</v>
      </c>
      <c r="L252" s="3">
        <v>0.15</v>
      </c>
      <c r="M252" s="33">
        <f t="shared" si="13"/>
        <v>1347.1662150000002</v>
      </c>
      <c r="N252" s="33">
        <v>879.08</v>
      </c>
      <c r="O252" s="33">
        <f t="shared" si="14"/>
        <v>468.08621500000015</v>
      </c>
      <c r="P252" s="4">
        <f t="shared" si="15"/>
        <v>0.34745988266934091</v>
      </c>
    </row>
    <row r="253" spans="1:16" x14ac:dyDescent="0.25">
      <c r="A253" s="5" t="s">
        <v>325</v>
      </c>
      <c r="B253" s="31">
        <v>44989</v>
      </c>
      <c r="C253" s="5" t="s">
        <v>58</v>
      </c>
      <c r="D253" s="5" t="s">
        <v>25</v>
      </c>
      <c r="E253" s="5" t="s">
        <v>19</v>
      </c>
      <c r="F253" s="5" t="s">
        <v>40</v>
      </c>
      <c r="G253" s="5" t="s">
        <v>79</v>
      </c>
      <c r="H253" s="5" t="s">
        <v>22</v>
      </c>
      <c r="I253" s="32">
        <v>39.840000000000003</v>
      </c>
      <c r="J253" s="6">
        <v>17</v>
      </c>
      <c r="K253" s="32">
        <f t="shared" si="12"/>
        <v>677.28000000000009</v>
      </c>
      <c r="L253" s="7">
        <v>0.05</v>
      </c>
      <c r="M253" s="32">
        <f t="shared" si="13"/>
        <v>676.94136000000015</v>
      </c>
      <c r="N253" s="32">
        <v>442.79</v>
      </c>
      <c r="O253" s="32">
        <f t="shared" si="14"/>
        <v>234.15136000000012</v>
      </c>
      <c r="P253" s="8">
        <f t="shared" si="15"/>
        <v>0.34589607584326076</v>
      </c>
    </row>
    <row r="254" spans="1:16" x14ac:dyDescent="0.25">
      <c r="A254" s="1" t="s">
        <v>326</v>
      </c>
      <c r="B254" s="30">
        <v>45072</v>
      </c>
      <c r="C254" s="1" t="s">
        <v>53</v>
      </c>
      <c r="D254" s="1" t="s">
        <v>49</v>
      </c>
      <c r="E254" s="1" t="s">
        <v>83</v>
      </c>
      <c r="F254" s="1" t="s">
        <v>45</v>
      </c>
      <c r="G254" s="1" t="s">
        <v>105</v>
      </c>
      <c r="H254" s="1" t="s">
        <v>56</v>
      </c>
      <c r="I254" s="33">
        <v>33.880000000000003</v>
      </c>
      <c r="J254" s="2">
        <v>8</v>
      </c>
      <c r="K254" s="33">
        <f t="shared" si="12"/>
        <v>271.04000000000002</v>
      </c>
      <c r="L254" s="3">
        <v>0.05</v>
      </c>
      <c r="M254" s="33">
        <f t="shared" si="13"/>
        <v>270.90448000000004</v>
      </c>
      <c r="N254" s="33">
        <v>142.32</v>
      </c>
      <c r="O254" s="33">
        <f t="shared" si="14"/>
        <v>128.58448000000004</v>
      </c>
      <c r="P254" s="4">
        <f t="shared" si="15"/>
        <v>0.47464877657246579</v>
      </c>
    </row>
    <row r="255" spans="1:16" x14ac:dyDescent="0.25">
      <c r="A255" s="5" t="s">
        <v>327</v>
      </c>
      <c r="B255" s="31">
        <v>44978</v>
      </c>
      <c r="C255" s="5" t="s">
        <v>43</v>
      </c>
      <c r="D255" s="5" t="s">
        <v>25</v>
      </c>
      <c r="E255" s="5" t="s">
        <v>19</v>
      </c>
      <c r="F255" s="5" t="s">
        <v>45</v>
      </c>
      <c r="G255" s="5" t="s">
        <v>46</v>
      </c>
      <c r="H255" s="5" t="s">
        <v>56</v>
      </c>
      <c r="I255" s="32">
        <v>54.43</v>
      </c>
      <c r="J255" s="6">
        <v>16</v>
      </c>
      <c r="K255" s="32">
        <f t="shared" si="12"/>
        <v>870.88</v>
      </c>
      <c r="L255" s="7">
        <v>0</v>
      </c>
      <c r="M255" s="32">
        <f t="shared" si="13"/>
        <v>870.88</v>
      </c>
      <c r="N255" s="32">
        <v>530.52</v>
      </c>
      <c r="O255" s="32">
        <f t="shared" si="14"/>
        <v>340.36</v>
      </c>
      <c r="P255" s="8">
        <f t="shared" si="15"/>
        <v>0.39082307550982914</v>
      </c>
    </row>
    <row r="256" spans="1:16" x14ac:dyDescent="0.25">
      <c r="A256" s="1" t="s">
        <v>328</v>
      </c>
      <c r="B256" s="30">
        <v>45266</v>
      </c>
      <c r="C256" s="1" t="s">
        <v>82</v>
      </c>
      <c r="D256" s="1" t="s">
        <v>18</v>
      </c>
      <c r="E256" s="1" t="s">
        <v>19</v>
      </c>
      <c r="F256" s="1" t="s">
        <v>66</v>
      </c>
      <c r="G256" s="1" t="s">
        <v>116</v>
      </c>
      <c r="H256" s="1" t="s">
        <v>32</v>
      </c>
      <c r="I256" s="33">
        <v>82.8</v>
      </c>
      <c r="J256" s="2">
        <v>28</v>
      </c>
      <c r="K256" s="33">
        <f t="shared" si="12"/>
        <v>2318.4</v>
      </c>
      <c r="L256" s="3">
        <v>0</v>
      </c>
      <c r="M256" s="33">
        <f t="shared" si="13"/>
        <v>2318.4</v>
      </c>
      <c r="N256" s="33">
        <v>1561.99</v>
      </c>
      <c r="O256" s="33">
        <f t="shared" si="14"/>
        <v>756.41000000000008</v>
      </c>
      <c r="P256" s="4">
        <f t="shared" si="15"/>
        <v>0.32626380262249832</v>
      </c>
    </row>
    <row r="257" spans="1:16" x14ac:dyDescent="0.25">
      <c r="A257" s="5" t="s">
        <v>329</v>
      </c>
      <c r="B257" s="31">
        <v>44934</v>
      </c>
      <c r="C257" s="5" t="s">
        <v>24</v>
      </c>
      <c r="D257" s="5" t="s">
        <v>25</v>
      </c>
      <c r="E257" s="5" t="s">
        <v>44</v>
      </c>
      <c r="F257" s="5" t="s">
        <v>40</v>
      </c>
      <c r="G257" s="5" t="s">
        <v>59</v>
      </c>
      <c r="H257" s="5" t="s">
        <v>38</v>
      </c>
      <c r="I257" s="32">
        <v>9.23</v>
      </c>
      <c r="J257" s="6">
        <v>3</v>
      </c>
      <c r="K257" s="32">
        <f t="shared" si="12"/>
        <v>27.69</v>
      </c>
      <c r="L257" s="7">
        <v>0.05</v>
      </c>
      <c r="M257" s="32">
        <f t="shared" si="13"/>
        <v>27.676155000000001</v>
      </c>
      <c r="N257" s="32">
        <v>18.690000000000001</v>
      </c>
      <c r="O257" s="32">
        <f t="shared" si="14"/>
        <v>8.9861550000000001</v>
      </c>
      <c r="P257" s="8">
        <f t="shared" si="15"/>
        <v>0.32468943030561864</v>
      </c>
    </row>
    <row r="258" spans="1:16" x14ac:dyDescent="0.25">
      <c r="A258" s="1" t="s">
        <v>330</v>
      </c>
      <c r="B258" s="30">
        <v>45221</v>
      </c>
      <c r="C258" s="1" t="s">
        <v>30</v>
      </c>
      <c r="D258" s="1" t="s">
        <v>18</v>
      </c>
      <c r="E258" s="1" t="s">
        <v>19</v>
      </c>
      <c r="F258" s="1" t="s">
        <v>26</v>
      </c>
      <c r="G258" s="1" t="s">
        <v>94</v>
      </c>
      <c r="H258" s="1" t="s">
        <v>28</v>
      </c>
      <c r="I258" s="33">
        <v>124.27</v>
      </c>
      <c r="J258" s="2">
        <v>19</v>
      </c>
      <c r="K258" s="33">
        <f t="shared" ref="K258:K301" si="16">I258*J258</f>
        <v>2361.13</v>
      </c>
      <c r="L258" s="3">
        <v>0</v>
      </c>
      <c r="M258" s="33">
        <f t="shared" ref="M258:M301" si="17">K258*(1-L258/100)</f>
        <v>2361.13</v>
      </c>
      <c r="N258" s="33">
        <v>1506.5</v>
      </c>
      <c r="O258" s="33">
        <f t="shared" ref="O258:O301" si="18">M258-N258</f>
        <v>854.63000000000011</v>
      </c>
      <c r="P258" s="4">
        <f t="shared" ref="P258:P301" si="19">IF(M258=0,0,O258/M258)</f>
        <v>0.36195804551210653</v>
      </c>
    </row>
    <row r="259" spans="1:16" x14ac:dyDescent="0.25">
      <c r="A259" s="5" t="s">
        <v>331</v>
      </c>
      <c r="B259" s="31">
        <v>45287</v>
      </c>
      <c r="C259" s="5" t="s">
        <v>82</v>
      </c>
      <c r="D259" s="5" t="s">
        <v>18</v>
      </c>
      <c r="E259" s="5" t="s">
        <v>83</v>
      </c>
      <c r="F259" s="5" t="s">
        <v>45</v>
      </c>
      <c r="G259" s="5" t="s">
        <v>105</v>
      </c>
      <c r="H259" s="5" t="s">
        <v>51</v>
      </c>
      <c r="I259" s="32">
        <v>35.46</v>
      </c>
      <c r="J259" s="6">
        <v>19</v>
      </c>
      <c r="K259" s="32">
        <f t="shared" si="16"/>
        <v>673.74</v>
      </c>
      <c r="L259" s="7">
        <v>0.15</v>
      </c>
      <c r="M259" s="32">
        <f t="shared" si="17"/>
        <v>672.72939000000008</v>
      </c>
      <c r="N259" s="32">
        <v>417.21</v>
      </c>
      <c r="O259" s="32">
        <f t="shared" si="18"/>
        <v>255.5193900000001</v>
      </c>
      <c r="P259" s="8">
        <f t="shared" si="19"/>
        <v>0.37982492484831093</v>
      </c>
    </row>
    <row r="260" spans="1:16" x14ac:dyDescent="0.25">
      <c r="A260" s="1" t="s">
        <v>332</v>
      </c>
      <c r="B260" s="30">
        <v>45180</v>
      </c>
      <c r="C260" s="1" t="s">
        <v>71</v>
      </c>
      <c r="D260" s="1" t="s">
        <v>35</v>
      </c>
      <c r="E260" s="1" t="s">
        <v>83</v>
      </c>
      <c r="F260" s="1" t="s">
        <v>26</v>
      </c>
      <c r="G260" s="1" t="s">
        <v>120</v>
      </c>
      <c r="H260" s="1" t="s">
        <v>32</v>
      </c>
      <c r="I260" s="33">
        <v>166.83</v>
      </c>
      <c r="J260" s="2">
        <v>14</v>
      </c>
      <c r="K260" s="33">
        <f t="shared" si="16"/>
        <v>2335.6200000000003</v>
      </c>
      <c r="L260" s="3">
        <v>0.05</v>
      </c>
      <c r="M260" s="33">
        <f t="shared" si="17"/>
        <v>2334.4521900000004</v>
      </c>
      <c r="N260" s="33">
        <v>1540.76</v>
      </c>
      <c r="O260" s="33">
        <f t="shared" si="18"/>
        <v>793.69219000000044</v>
      </c>
      <c r="P260" s="4">
        <f t="shared" si="19"/>
        <v>0.33999076674172551</v>
      </c>
    </row>
    <row r="261" spans="1:16" x14ac:dyDescent="0.25">
      <c r="A261" s="5" t="s">
        <v>333</v>
      </c>
      <c r="B261" s="31">
        <v>45097</v>
      </c>
      <c r="C261" s="5" t="s">
        <v>48</v>
      </c>
      <c r="D261" s="5" t="s">
        <v>49</v>
      </c>
      <c r="E261" s="5" t="s">
        <v>83</v>
      </c>
      <c r="F261" s="5" t="s">
        <v>20</v>
      </c>
      <c r="G261" s="5" t="s">
        <v>54</v>
      </c>
      <c r="H261" s="5" t="s">
        <v>38</v>
      </c>
      <c r="I261" s="32">
        <v>10.33</v>
      </c>
      <c r="J261" s="6">
        <v>15</v>
      </c>
      <c r="K261" s="32">
        <f t="shared" si="16"/>
        <v>154.94999999999999</v>
      </c>
      <c r="L261" s="7">
        <v>0.2</v>
      </c>
      <c r="M261" s="32">
        <f t="shared" si="17"/>
        <v>154.64009999999999</v>
      </c>
      <c r="N261" s="32">
        <v>78.599999999999994</v>
      </c>
      <c r="O261" s="32">
        <f t="shared" si="18"/>
        <v>76.040099999999995</v>
      </c>
      <c r="P261" s="8">
        <f t="shared" si="19"/>
        <v>0.49172303949622381</v>
      </c>
    </row>
    <row r="262" spans="1:16" x14ac:dyDescent="0.25">
      <c r="A262" s="1" t="s">
        <v>334</v>
      </c>
      <c r="B262" s="30">
        <v>45182</v>
      </c>
      <c r="C262" s="1" t="s">
        <v>71</v>
      </c>
      <c r="D262" s="1" t="s">
        <v>35</v>
      </c>
      <c r="E262" s="1" t="s">
        <v>83</v>
      </c>
      <c r="F262" s="1" t="s">
        <v>26</v>
      </c>
      <c r="G262" s="1" t="s">
        <v>207</v>
      </c>
      <c r="H262" s="1" t="s">
        <v>56</v>
      </c>
      <c r="I262" s="33">
        <v>33</v>
      </c>
      <c r="J262" s="2">
        <v>20</v>
      </c>
      <c r="K262" s="33">
        <f t="shared" si="16"/>
        <v>660</v>
      </c>
      <c r="L262" s="3">
        <v>0.05</v>
      </c>
      <c r="M262" s="33">
        <f t="shared" si="17"/>
        <v>659.67000000000007</v>
      </c>
      <c r="N262" s="33">
        <v>428.67</v>
      </c>
      <c r="O262" s="33">
        <f t="shared" si="18"/>
        <v>231.00000000000006</v>
      </c>
      <c r="P262" s="4">
        <f t="shared" si="19"/>
        <v>0.35017508754377191</v>
      </c>
    </row>
    <row r="263" spans="1:16" x14ac:dyDescent="0.25">
      <c r="A263" s="5" t="s">
        <v>335</v>
      </c>
      <c r="B263" s="31">
        <v>45263</v>
      </c>
      <c r="C263" s="5" t="s">
        <v>82</v>
      </c>
      <c r="D263" s="5" t="s">
        <v>18</v>
      </c>
      <c r="E263" s="5" t="s">
        <v>19</v>
      </c>
      <c r="F263" s="5" t="s">
        <v>20</v>
      </c>
      <c r="G263" s="5" t="s">
        <v>21</v>
      </c>
      <c r="H263" s="5" t="s">
        <v>56</v>
      </c>
      <c r="I263" s="32">
        <v>6.28</v>
      </c>
      <c r="J263" s="6">
        <v>21</v>
      </c>
      <c r="K263" s="32">
        <f t="shared" si="16"/>
        <v>131.88</v>
      </c>
      <c r="L263" s="7">
        <v>0</v>
      </c>
      <c r="M263" s="32">
        <f t="shared" si="17"/>
        <v>131.88</v>
      </c>
      <c r="N263" s="32">
        <v>83.72</v>
      </c>
      <c r="O263" s="32">
        <f t="shared" si="18"/>
        <v>48.16</v>
      </c>
      <c r="P263" s="8">
        <f t="shared" si="19"/>
        <v>0.36518046709129509</v>
      </c>
    </row>
    <row r="264" spans="1:16" x14ac:dyDescent="0.25">
      <c r="A264" s="1" t="s">
        <v>336</v>
      </c>
      <c r="B264" s="30">
        <v>45089</v>
      </c>
      <c r="C264" s="1" t="s">
        <v>48</v>
      </c>
      <c r="D264" s="1" t="s">
        <v>49</v>
      </c>
      <c r="E264" s="1" t="s">
        <v>19</v>
      </c>
      <c r="F264" s="1" t="s">
        <v>45</v>
      </c>
      <c r="G264" s="1" t="s">
        <v>85</v>
      </c>
      <c r="H264" s="1" t="s">
        <v>38</v>
      </c>
      <c r="I264" s="33">
        <v>224.47</v>
      </c>
      <c r="J264" s="2">
        <v>25</v>
      </c>
      <c r="K264" s="33">
        <f t="shared" si="16"/>
        <v>5611.75</v>
      </c>
      <c r="L264" s="3">
        <v>0.05</v>
      </c>
      <c r="M264" s="33">
        <f t="shared" si="17"/>
        <v>5608.944125</v>
      </c>
      <c r="N264" s="33">
        <v>2668.75</v>
      </c>
      <c r="O264" s="33">
        <f t="shared" si="18"/>
        <v>2940.194125</v>
      </c>
      <c r="P264" s="4">
        <f t="shared" si="19"/>
        <v>0.52419743528823259</v>
      </c>
    </row>
    <row r="265" spans="1:16" x14ac:dyDescent="0.25">
      <c r="A265" s="5" t="s">
        <v>337</v>
      </c>
      <c r="B265" s="31">
        <v>44963</v>
      </c>
      <c r="C265" s="5" t="s">
        <v>43</v>
      </c>
      <c r="D265" s="5" t="s">
        <v>25</v>
      </c>
      <c r="E265" s="5" t="s">
        <v>83</v>
      </c>
      <c r="F265" s="5" t="s">
        <v>66</v>
      </c>
      <c r="G265" s="5" t="s">
        <v>77</v>
      </c>
      <c r="H265" s="5" t="s">
        <v>56</v>
      </c>
      <c r="I265" s="32">
        <v>17.13</v>
      </c>
      <c r="J265" s="6">
        <v>3</v>
      </c>
      <c r="K265" s="32">
        <f t="shared" si="16"/>
        <v>51.39</v>
      </c>
      <c r="L265" s="7">
        <v>0.1</v>
      </c>
      <c r="M265" s="32">
        <f t="shared" si="17"/>
        <v>51.338610000000003</v>
      </c>
      <c r="N265" s="32">
        <v>30.25</v>
      </c>
      <c r="O265" s="32">
        <f t="shared" si="18"/>
        <v>21.088610000000003</v>
      </c>
      <c r="P265" s="8">
        <f t="shared" si="19"/>
        <v>0.41077485346798448</v>
      </c>
    </row>
    <row r="266" spans="1:16" x14ac:dyDescent="0.25">
      <c r="A266" s="1" t="s">
        <v>338</v>
      </c>
      <c r="B266" s="30">
        <v>45219</v>
      </c>
      <c r="C266" s="1" t="s">
        <v>30</v>
      </c>
      <c r="D266" s="1" t="s">
        <v>18</v>
      </c>
      <c r="E266" s="1" t="s">
        <v>36</v>
      </c>
      <c r="F266" s="1" t="s">
        <v>66</v>
      </c>
      <c r="G266" s="1" t="s">
        <v>72</v>
      </c>
      <c r="H266" s="1" t="s">
        <v>38</v>
      </c>
      <c r="I266" s="33">
        <v>16.600000000000001</v>
      </c>
      <c r="J266" s="2">
        <v>25</v>
      </c>
      <c r="K266" s="33">
        <f t="shared" si="16"/>
        <v>415.00000000000006</v>
      </c>
      <c r="L266" s="3">
        <v>0</v>
      </c>
      <c r="M266" s="33">
        <f t="shared" si="17"/>
        <v>415.00000000000006</v>
      </c>
      <c r="N266" s="33">
        <v>262.01</v>
      </c>
      <c r="O266" s="33">
        <f t="shared" si="18"/>
        <v>152.99000000000007</v>
      </c>
      <c r="P266" s="4">
        <f t="shared" si="19"/>
        <v>0.36865060240963865</v>
      </c>
    </row>
    <row r="267" spans="1:16" x14ac:dyDescent="0.25">
      <c r="A267" s="5" t="s">
        <v>339</v>
      </c>
      <c r="B267" s="31">
        <v>45177</v>
      </c>
      <c r="C267" s="5" t="s">
        <v>71</v>
      </c>
      <c r="D267" s="5" t="s">
        <v>35</v>
      </c>
      <c r="E267" s="5" t="s">
        <v>44</v>
      </c>
      <c r="F267" s="5" t="s">
        <v>66</v>
      </c>
      <c r="G267" s="5" t="s">
        <v>67</v>
      </c>
      <c r="H267" s="5" t="s">
        <v>51</v>
      </c>
      <c r="I267" s="32">
        <v>62.07</v>
      </c>
      <c r="J267" s="6">
        <v>9</v>
      </c>
      <c r="K267" s="32">
        <f t="shared" si="16"/>
        <v>558.63</v>
      </c>
      <c r="L267" s="7">
        <v>0.2</v>
      </c>
      <c r="M267" s="32">
        <f t="shared" si="17"/>
        <v>557.51274000000001</v>
      </c>
      <c r="N267" s="32">
        <v>271.75</v>
      </c>
      <c r="O267" s="32">
        <f t="shared" si="18"/>
        <v>285.76274000000001</v>
      </c>
      <c r="P267" s="8">
        <f t="shared" si="19"/>
        <v>0.51256719263491635</v>
      </c>
    </row>
    <row r="268" spans="1:16" x14ac:dyDescent="0.25">
      <c r="A268" s="1" t="s">
        <v>340</v>
      </c>
      <c r="B268" s="30">
        <v>44999</v>
      </c>
      <c r="C268" s="1" t="s">
        <v>58</v>
      </c>
      <c r="D268" s="1" t="s">
        <v>25</v>
      </c>
      <c r="E268" s="1" t="s">
        <v>36</v>
      </c>
      <c r="F268" s="1" t="s">
        <v>66</v>
      </c>
      <c r="G268" s="1" t="s">
        <v>125</v>
      </c>
      <c r="H268" s="1" t="s">
        <v>68</v>
      </c>
      <c r="I268" s="33">
        <v>58.11</v>
      </c>
      <c r="J268" s="2">
        <v>12</v>
      </c>
      <c r="K268" s="33">
        <f t="shared" si="16"/>
        <v>697.31999999999994</v>
      </c>
      <c r="L268" s="3">
        <v>0.05</v>
      </c>
      <c r="M268" s="33">
        <f t="shared" si="17"/>
        <v>696.97133999999994</v>
      </c>
      <c r="N268" s="33">
        <v>478.4</v>
      </c>
      <c r="O268" s="33">
        <f t="shared" si="18"/>
        <v>218.57133999999996</v>
      </c>
      <c r="P268" s="4">
        <f t="shared" si="19"/>
        <v>0.31360161810957676</v>
      </c>
    </row>
    <row r="269" spans="1:16" x14ac:dyDescent="0.25">
      <c r="A269" s="5" t="s">
        <v>341</v>
      </c>
      <c r="B269" s="31">
        <v>45281</v>
      </c>
      <c r="C269" s="5" t="s">
        <v>82</v>
      </c>
      <c r="D269" s="5" t="s">
        <v>18</v>
      </c>
      <c r="E269" s="5" t="s">
        <v>83</v>
      </c>
      <c r="F269" s="5" t="s">
        <v>40</v>
      </c>
      <c r="G269" s="5" t="s">
        <v>96</v>
      </c>
      <c r="H269" s="5" t="s">
        <v>22</v>
      </c>
      <c r="I269" s="32">
        <v>13.55</v>
      </c>
      <c r="J269" s="6">
        <v>5</v>
      </c>
      <c r="K269" s="32">
        <f t="shared" si="16"/>
        <v>67.75</v>
      </c>
      <c r="L269" s="7">
        <v>0.05</v>
      </c>
      <c r="M269" s="32">
        <f t="shared" si="17"/>
        <v>67.716125000000005</v>
      </c>
      <c r="N269" s="32">
        <v>30.6</v>
      </c>
      <c r="O269" s="32">
        <f t="shared" si="18"/>
        <v>37.116125000000004</v>
      </c>
      <c r="P269" s="8">
        <f t="shared" si="19"/>
        <v>0.54811354016491642</v>
      </c>
    </row>
    <row r="270" spans="1:16" x14ac:dyDescent="0.25">
      <c r="A270" s="1" t="s">
        <v>342</v>
      </c>
      <c r="B270" s="30">
        <v>45118</v>
      </c>
      <c r="C270" s="1" t="s">
        <v>34</v>
      </c>
      <c r="D270" s="1" t="s">
        <v>35</v>
      </c>
      <c r="E270" s="1" t="s">
        <v>83</v>
      </c>
      <c r="F270" s="1" t="s">
        <v>20</v>
      </c>
      <c r="G270" s="1" t="s">
        <v>113</v>
      </c>
      <c r="H270" s="1" t="s">
        <v>32</v>
      </c>
      <c r="I270" s="33">
        <v>22.31</v>
      </c>
      <c r="J270" s="2">
        <v>27</v>
      </c>
      <c r="K270" s="33">
        <f t="shared" si="16"/>
        <v>602.37</v>
      </c>
      <c r="L270" s="3">
        <v>0</v>
      </c>
      <c r="M270" s="33">
        <f t="shared" si="17"/>
        <v>602.37</v>
      </c>
      <c r="N270" s="33">
        <v>316.26</v>
      </c>
      <c r="O270" s="33">
        <f t="shared" si="18"/>
        <v>286.11</v>
      </c>
      <c r="P270" s="4">
        <f t="shared" si="19"/>
        <v>0.47497385327954583</v>
      </c>
    </row>
    <row r="271" spans="1:16" x14ac:dyDescent="0.25">
      <c r="A271" s="5" t="s">
        <v>343</v>
      </c>
      <c r="B271" s="31">
        <v>45222</v>
      </c>
      <c r="C271" s="5" t="s">
        <v>30</v>
      </c>
      <c r="D271" s="5" t="s">
        <v>18</v>
      </c>
      <c r="E271" s="5" t="s">
        <v>44</v>
      </c>
      <c r="F271" s="5" t="s">
        <v>66</v>
      </c>
      <c r="G271" s="5" t="s">
        <v>125</v>
      </c>
      <c r="H271" s="5" t="s">
        <v>51</v>
      </c>
      <c r="I271" s="32">
        <v>62.2</v>
      </c>
      <c r="J271" s="6">
        <v>11</v>
      </c>
      <c r="K271" s="32">
        <f t="shared" si="16"/>
        <v>684.2</v>
      </c>
      <c r="L271" s="7">
        <v>0.05</v>
      </c>
      <c r="M271" s="32">
        <f t="shared" si="17"/>
        <v>683.85790000000009</v>
      </c>
      <c r="N271" s="32">
        <v>433.61</v>
      </c>
      <c r="O271" s="32">
        <f t="shared" si="18"/>
        <v>250.24790000000007</v>
      </c>
      <c r="P271" s="8">
        <f t="shared" si="19"/>
        <v>0.36593552549440467</v>
      </c>
    </row>
    <row r="272" spans="1:16" x14ac:dyDescent="0.25">
      <c r="A272" s="1" t="s">
        <v>344</v>
      </c>
      <c r="B272" s="30">
        <v>45246</v>
      </c>
      <c r="C272" s="1" t="s">
        <v>17</v>
      </c>
      <c r="D272" s="1" t="s">
        <v>18</v>
      </c>
      <c r="E272" s="1" t="s">
        <v>44</v>
      </c>
      <c r="F272" s="1" t="s">
        <v>20</v>
      </c>
      <c r="G272" s="1" t="s">
        <v>113</v>
      </c>
      <c r="H272" s="1" t="s">
        <v>38</v>
      </c>
      <c r="I272" s="33">
        <v>26.16</v>
      </c>
      <c r="J272" s="2">
        <v>13</v>
      </c>
      <c r="K272" s="33">
        <f t="shared" si="16"/>
        <v>340.08</v>
      </c>
      <c r="L272" s="3">
        <v>0.1</v>
      </c>
      <c r="M272" s="33">
        <f t="shared" si="17"/>
        <v>339.73991999999998</v>
      </c>
      <c r="N272" s="33">
        <v>162.75</v>
      </c>
      <c r="O272" s="33">
        <f t="shared" si="18"/>
        <v>176.98991999999998</v>
      </c>
      <c r="P272" s="4">
        <f t="shared" si="19"/>
        <v>0.52095708976442923</v>
      </c>
    </row>
    <row r="273" spans="1:16" x14ac:dyDescent="0.25">
      <c r="A273" s="5" t="s">
        <v>345</v>
      </c>
      <c r="B273" s="31">
        <v>45206</v>
      </c>
      <c r="C273" s="5" t="s">
        <v>30</v>
      </c>
      <c r="D273" s="5" t="s">
        <v>18</v>
      </c>
      <c r="E273" s="5" t="s">
        <v>44</v>
      </c>
      <c r="F273" s="5" t="s">
        <v>40</v>
      </c>
      <c r="G273" s="5" t="s">
        <v>63</v>
      </c>
      <c r="H273" s="5" t="s">
        <v>68</v>
      </c>
      <c r="I273" s="32">
        <v>34.29</v>
      </c>
      <c r="J273" s="6">
        <v>7</v>
      </c>
      <c r="K273" s="32">
        <f t="shared" si="16"/>
        <v>240.03</v>
      </c>
      <c r="L273" s="7">
        <v>0.2</v>
      </c>
      <c r="M273" s="32">
        <f t="shared" si="17"/>
        <v>239.54993999999999</v>
      </c>
      <c r="N273" s="32">
        <v>155.87</v>
      </c>
      <c r="O273" s="32">
        <f t="shared" si="18"/>
        <v>83.679939999999988</v>
      </c>
      <c r="P273" s="8">
        <f t="shared" si="19"/>
        <v>0.34932148177536587</v>
      </c>
    </row>
    <row r="274" spans="1:16" x14ac:dyDescent="0.25">
      <c r="A274" s="1" t="s">
        <v>346</v>
      </c>
      <c r="B274" s="30">
        <v>45263</v>
      </c>
      <c r="C274" s="1" t="s">
        <v>82</v>
      </c>
      <c r="D274" s="1" t="s">
        <v>18</v>
      </c>
      <c r="E274" s="1" t="s">
        <v>83</v>
      </c>
      <c r="F274" s="1" t="s">
        <v>66</v>
      </c>
      <c r="G274" s="1" t="s">
        <v>67</v>
      </c>
      <c r="H274" s="1" t="s">
        <v>38</v>
      </c>
      <c r="I274" s="33">
        <v>61.26</v>
      </c>
      <c r="J274" s="2">
        <v>22</v>
      </c>
      <c r="K274" s="33">
        <f t="shared" si="16"/>
        <v>1347.72</v>
      </c>
      <c r="L274" s="3">
        <v>0</v>
      </c>
      <c r="M274" s="33">
        <f t="shared" si="17"/>
        <v>1347.72</v>
      </c>
      <c r="N274" s="33">
        <v>847.47</v>
      </c>
      <c r="O274" s="33">
        <f t="shared" si="18"/>
        <v>500.25</v>
      </c>
      <c r="P274" s="4">
        <f t="shared" si="19"/>
        <v>0.37118244145668239</v>
      </c>
    </row>
    <row r="275" spans="1:16" x14ac:dyDescent="0.25">
      <c r="A275" s="5" t="s">
        <v>347</v>
      </c>
      <c r="B275" s="31">
        <v>45110</v>
      </c>
      <c r="C275" s="5" t="s">
        <v>34</v>
      </c>
      <c r="D275" s="5" t="s">
        <v>35</v>
      </c>
      <c r="E275" s="5" t="s">
        <v>83</v>
      </c>
      <c r="F275" s="5" t="s">
        <v>40</v>
      </c>
      <c r="G275" s="5" t="s">
        <v>59</v>
      </c>
      <c r="H275" s="5" t="s">
        <v>56</v>
      </c>
      <c r="I275" s="32">
        <v>11.67</v>
      </c>
      <c r="J275" s="6">
        <v>30</v>
      </c>
      <c r="K275" s="32">
        <f t="shared" si="16"/>
        <v>350.1</v>
      </c>
      <c r="L275" s="7">
        <v>0.15</v>
      </c>
      <c r="M275" s="32">
        <f t="shared" si="17"/>
        <v>349.57485000000003</v>
      </c>
      <c r="N275" s="32">
        <v>205.16</v>
      </c>
      <c r="O275" s="32">
        <f t="shared" si="18"/>
        <v>144.41485000000003</v>
      </c>
      <c r="P275" s="8">
        <f t="shared" si="19"/>
        <v>0.41311567465451254</v>
      </c>
    </row>
    <row r="276" spans="1:16" x14ac:dyDescent="0.25">
      <c r="A276" s="1" t="s">
        <v>348</v>
      </c>
      <c r="B276" s="30">
        <v>45100</v>
      </c>
      <c r="C276" s="1" t="s">
        <v>48</v>
      </c>
      <c r="D276" s="1" t="s">
        <v>49</v>
      </c>
      <c r="E276" s="1" t="s">
        <v>19</v>
      </c>
      <c r="F276" s="1" t="s">
        <v>45</v>
      </c>
      <c r="G276" s="1" t="s">
        <v>155</v>
      </c>
      <c r="H276" s="1" t="s">
        <v>32</v>
      </c>
      <c r="I276" s="33">
        <v>117.98</v>
      </c>
      <c r="J276" s="2">
        <v>20</v>
      </c>
      <c r="K276" s="33">
        <f t="shared" si="16"/>
        <v>2359.6</v>
      </c>
      <c r="L276" s="3">
        <v>0</v>
      </c>
      <c r="M276" s="33">
        <f t="shared" si="17"/>
        <v>2359.6</v>
      </c>
      <c r="N276" s="33">
        <v>1394.07</v>
      </c>
      <c r="O276" s="33">
        <f t="shared" si="18"/>
        <v>965.53</v>
      </c>
      <c r="P276" s="4">
        <f t="shared" si="19"/>
        <v>0.40919223597219867</v>
      </c>
    </row>
    <row r="277" spans="1:16" x14ac:dyDescent="0.25">
      <c r="A277" s="5" t="s">
        <v>349</v>
      </c>
      <c r="B277" s="31">
        <v>45252</v>
      </c>
      <c r="C277" s="5" t="s">
        <v>17</v>
      </c>
      <c r="D277" s="5" t="s">
        <v>18</v>
      </c>
      <c r="E277" s="5" t="s">
        <v>83</v>
      </c>
      <c r="F277" s="5" t="s">
        <v>20</v>
      </c>
      <c r="G277" s="5" t="s">
        <v>113</v>
      </c>
      <c r="H277" s="5" t="s">
        <v>64</v>
      </c>
      <c r="I277" s="32">
        <v>18.11</v>
      </c>
      <c r="J277" s="6">
        <v>9</v>
      </c>
      <c r="K277" s="32">
        <f t="shared" si="16"/>
        <v>162.99</v>
      </c>
      <c r="L277" s="7">
        <v>0.05</v>
      </c>
      <c r="M277" s="32">
        <f t="shared" si="17"/>
        <v>162.90850500000002</v>
      </c>
      <c r="N277" s="32">
        <v>94.13</v>
      </c>
      <c r="O277" s="32">
        <f t="shared" si="18"/>
        <v>68.778505000000024</v>
      </c>
      <c r="P277" s="8">
        <f t="shared" si="19"/>
        <v>0.42219100224386696</v>
      </c>
    </row>
    <row r="278" spans="1:16" x14ac:dyDescent="0.25">
      <c r="A278" s="1" t="s">
        <v>350</v>
      </c>
      <c r="B278" s="30">
        <v>45187</v>
      </c>
      <c r="C278" s="1" t="s">
        <v>71</v>
      </c>
      <c r="D278" s="1" t="s">
        <v>35</v>
      </c>
      <c r="E278" s="1" t="s">
        <v>44</v>
      </c>
      <c r="F278" s="1" t="s">
        <v>66</v>
      </c>
      <c r="G278" s="1" t="s">
        <v>125</v>
      </c>
      <c r="H278" s="1" t="s">
        <v>56</v>
      </c>
      <c r="I278" s="33">
        <v>50.92</v>
      </c>
      <c r="J278" s="2">
        <v>22</v>
      </c>
      <c r="K278" s="33">
        <f t="shared" si="16"/>
        <v>1120.24</v>
      </c>
      <c r="L278" s="3">
        <v>0</v>
      </c>
      <c r="M278" s="33">
        <f t="shared" si="17"/>
        <v>1120.24</v>
      </c>
      <c r="N278" s="33">
        <v>600.71</v>
      </c>
      <c r="O278" s="33">
        <f t="shared" si="18"/>
        <v>519.53</v>
      </c>
      <c r="P278" s="4">
        <f t="shared" si="19"/>
        <v>0.46376669285153177</v>
      </c>
    </row>
    <row r="279" spans="1:16" x14ac:dyDescent="0.25">
      <c r="A279" s="5" t="s">
        <v>351</v>
      </c>
      <c r="B279" s="31">
        <v>44942</v>
      </c>
      <c r="C279" s="5" t="s">
        <v>24</v>
      </c>
      <c r="D279" s="5" t="s">
        <v>25</v>
      </c>
      <c r="E279" s="5" t="s">
        <v>19</v>
      </c>
      <c r="F279" s="5" t="s">
        <v>20</v>
      </c>
      <c r="G279" s="5" t="s">
        <v>113</v>
      </c>
      <c r="H279" s="5" t="s">
        <v>64</v>
      </c>
      <c r="I279" s="32">
        <v>19.16</v>
      </c>
      <c r="J279" s="6">
        <v>24</v>
      </c>
      <c r="K279" s="32">
        <f t="shared" si="16"/>
        <v>459.84000000000003</v>
      </c>
      <c r="L279" s="7">
        <v>0</v>
      </c>
      <c r="M279" s="32">
        <f t="shared" si="17"/>
        <v>459.84000000000003</v>
      </c>
      <c r="N279" s="32">
        <v>246.98</v>
      </c>
      <c r="O279" s="32">
        <f t="shared" si="18"/>
        <v>212.86000000000004</v>
      </c>
      <c r="P279" s="8">
        <f t="shared" si="19"/>
        <v>0.46290013917884487</v>
      </c>
    </row>
    <row r="280" spans="1:16" x14ac:dyDescent="0.25">
      <c r="A280" s="1" t="s">
        <v>352</v>
      </c>
      <c r="B280" s="30">
        <v>45092</v>
      </c>
      <c r="C280" s="1" t="s">
        <v>48</v>
      </c>
      <c r="D280" s="1" t="s">
        <v>49</v>
      </c>
      <c r="E280" s="1" t="s">
        <v>44</v>
      </c>
      <c r="F280" s="1" t="s">
        <v>40</v>
      </c>
      <c r="G280" s="1" t="s">
        <v>59</v>
      </c>
      <c r="H280" s="1" t="s">
        <v>32</v>
      </c>
      <c r="I280" s="33">
        <v>11.38</v>
      </c>
      <c r="J280" s="2">
        <v>15</v>
      </c>
      <c r="K280" s="33">
        <f t="shared" si="16"/>
        <v>170.70000000000002</v>
      </c>
      <c r="L280" s="3">
        <v>0.2</v>
      </c>
      <c r="M280" s="33">
        <f t="shared" si="17"/>
        <v>170.35860000000002</v>
      </c>
      <c r="N280" s="33">
        <v>90.43</v>
      </c>
      <c r="O280" s="33">
        <f t="shared" si="18"/>
        <v>79.928600000000017</v>
      </c>
      <c r="P280" s="4">
        <f t="shared" si="19"/>
        <v>0.46917854455249108</v>
      </c>
    </row>
    <row r="281" spans="1:16" x14ac:dyDescent="0.25">
      <c r="A281" s="5" t="s">
        <v>353</v>
      </c>
      <c r="B281" s="31">
        <v>45048</v>
      </c>
      <c r="C281" s="5" t="s">
        <v>53</v>
      </c>
      <c r="D281" s="5" t="s">
        <v>49</v>
      </c>
      <c r="E281" s="5" t="s">
        <v>19</v>
      </c>
      <c r="F281" s="5" t="s">
        <v>45</v>
      </c>
      <c r="G281" s="5" t="s">
        <v>105</v>
      </c>
      <c r="H281" s="5" t="s">
        <v>64</v>
      </c>
      <c r="I281" s="32">
        <v>37.159999999999997</v>
      </c>
      <c r="J281" s="6">
        <v>6</v>
      </c>
      <c r="K281" s="32">
        <f t="shared" si="16"/>
        <v>222.95999999999998</v>
      </c>
      <c r="L281" s="7">
        <v>0.05</v>
      </c>
      <c r="M281" s="32">
        <f t="shared" si="17"/>
        <v>222.84851999999998</v>
      </c>
      <c r="N281" s="32">
        <v>129.08000000000001</v>
      </c>
      <c r="O281" s="32">
        <f t="shared" si="18"/>
        <v>93.768519999999967</v>
      </c>
      <c r="P281" s="8">
        <f t="shared" si="19"/>
        <v>0.42077246014467573</v>
      </c>
    </row>
    <row r="282" spans="1:16" x14ac:dyDescent="0.25">
      <c r="A282" s="1" t="s">
        <v>354</v>
      </c>
      <c r="B282" s="30">
        <v>45175</v>
      </c>
      <c r="C282" s="1" t="s">
        <v>71</v>
      </c>
      <c r="D282" s="1" t="s">
        <v>35</v>
      </c>
      <c r="E282" s="1" t="s">
        <v>36</v>
      </c>
      <c r="F282" s="1" t="s">
        <v>40</v>
      </c>
      <c r="G282" s="1" t="s">
        <v>59</v>
      </c>
      <c r="H282" s="1" t="s">
        <v>68</v>
      </c>
      <c r="I282" s="33">
        <v>10.16</v>
      </c>
      <c r="J282" s="2">
        <v>13</v>
      </c>
      <c r="K282" s="33">
        <f t="shared" si="16"/>
        <v>132.08000000000001</v>
      </c>
      <c r="L282" s="3">
        <v>0</v>
      </c>
      <c r="M282" s="33">
        <f t="shared" si="17"/>
        <v>132.08000000000001</v>
      </c>
      <c r="N282" s="33">
        <v>65.59</v>
      </c>
      <c r="O282" s="33">
        <f t="shared" si="18"/>
        <v>66.490000000000009</v>
      </c>
      <c r="P282" s="4">
        <f t="shared" si="19"/>
        <v>0.50340702604482135</v>
      </c>
    </row>
    <row r="283" spans="1:16" x14ac:dyDescent="0.25">
      <c r="A283" s="5" t="s">
        <v>355</v>
      </c>
      <c r="B283" s="31">
        <v>45244</v>
      </c>
      <c r="C283" s="5" t="s">
        <v>17</v>
      </c>
      <c r="D283" s="5" t="s">
        <v>18</v>
      </c>
      <c r="E283" s="5" t="s">
        <v>83</v>
      </c>
      <c r="F283" s="5" t="s">
        <v>45</v>
      </c>
      <c r="G283" s="5" t="s">
        <v>50</v>
      </c>
      <c r="H283" s="5" t="s">
        <v>22</v>
      </c>
      <c r="I283" s="32">
        <v>44.99</v>
      </c>
      <c r="J283" s="6">
        <v>14</v>
      </c>
      <c r="K283" s="32">
        <f t="shared" si="16"/>
        <v>629.86</v>
      </c>
      <c r="L283" s="7">
        <v>0.15</v>
      </c>
      <c r="M283" s="32">
        <f t="shared" si="17"/>
        <v>628.91521</v>
      </c>
      <c r="N283" s="32">
        <v>284.14999999999998</v>
      </c>
      <c r="O283" s="32">
        <f t="shared" si="18"/>
        <v>344.76521000000002</v>
      </c>
      <c r="P283" s="8">
        <f t="shared" si="19"/>
        <v>0.54819028784500223</v>
      </c>
    </row>
    <row r="284" spans="1:16" x14ac:dyDescent="0.25">
      <c r="A284" s="1" t="s">
        <v>356</v>
      </c>
      <c r="B284" s="30">
        <v>45023</v>
      </c>
      <c r="C284" s="1" t="s">
        <v>74</v>
      </c>
      <c r="D284" s="1" t="s">
        <v>49</v>
      </c>
      <c r="E284" s="1" t="s">
        <v>36</v>
      </c>
      <c r="F284" s="1" t="s">
        <v>45</v>
      </c>
      <c r="G284" s="1" t="s">
        <v>50</v>
      </c>
      <c r="H284" s="1" t="s">
        <v>64</v>
      </c>
      <c r="I284" s="33">
        <v>51.99</v>
      </c>
      <c r="J284" s="2">
        <v>18</v>
      </c>
      <c r="K284" s="33">
        <f t="shared" si="16"/>
        <v>935.82</v>
      </c>
      <c r="L284" s="3">
        <v>0</v>
      </c>
      <c r="M284" s="33">
        <f t="shared" si="17"/>
        <v>935.82</v>
      </c>
      <c r="N284" s="33">
        <v>506.7</v>
      </c>
      <c r="O284" s="33">
        <f t="shared" si="18"/>
        <v>429.12000000000006</v>
      </c>
      <c r="P284" s="4">
        <f t="shared" si="19"/>
        <v>0.45854972110021164</v>
      </c>
    </row>
    <row r="285" spans="1:16" x14ac:dyDescent="0.25">
      <c r="A285" s="5" t="s">
        <v>357</v>
      </c>
      <c r="B285" s="31">
        <v>45031</v>
      </c>
      <c r="C285" s="5" t="s">
        <v>74</v>
      </c>
      <c r="D285" s="5" t="s">
        <v>49</v>
      </c>
      <c r="E285" s="5" t="s">
        <v>19</v>
      </c>
      <c r="F285" s="5" t="s">
        <v>20</v>
      </c>
      <c r="G285" s="5" t="s">
        <v>113</v>
      </c>
      <c r="H285" s="5" t="s">
        <v>32</v>
      </c>
      <c r="I285" s="32">
        <v>23.97</v>
      </c>
      <c r="J285" s="6">
        <v>20</v>
      </c>
      <c r="K285" s="32">
        <f t="shared" si="16"/>
        <v>479.4</v>
      </c>
      <c r="L285" s="7">
        <v>0.15</v>
      </c>
      <c r="M285" s="32">
        <f t="shared" si="17"/>
        <v>478.68090000000001</v>
      </c>
      <c r="N285" s="32">
        <v>286.08</v>
      </c>
      <c r="O285" s="32">
        <f t="shared" si="18"/>
        <v>192.60090000000002</v>
      </c>
      <c r="P285" s="8">
        <f t="shared" si="19"/>
        <v>0.40235760399046633</v>
      </c>
    </row>
    <row r="286" spans="1:16" x14ac:dyDescent="0.25">
      <c r="A286" s="1" t="s">
        <v>358</v>
      </c>
      <c r="B286" s="30">
        <v>45089</v>
      </c>
      <c r="C286" s="1" t="s">
        <v>48</v>
      </c>
      <c r="D286" s="1" t="s">
        <v>49</v>
      </c>
      <c r="E286" s="1" t="s">
        <v>83</v>
      </c>
      <c r="F286" s="1" t="s">
        <v>40</v>
      </c>
      <c r="G286" s="1" t="s">
        <v>79</v>
      </c>
      <c r="H286" s="1" t="s">
        <v>38</v>
      </c>
      <c r="I286" s="33">
        <v>54.37</v>
      </c>
      <c r="J286" s="2">
        <v>19</v>
      </c>
      <c r="K286" s="33">
        <f t="shared" si="16"/>
        <v>1033.03</v>
      </c>
      <c r="L286" s="3">
        <v>0</v>
      </c>
      <c r="M286" s="33">
        <f t="shared" si="17"/>
        <v>1033.03</v>
      </c>
      <c r="N286" s="33">
        <v>638.48</v>
      </c>
      <c r="O286" s="33">
        <f t="shared" si="18"/>
        <v>394.54999999999995</v>
      </c>
      <c r="P286" s="4">
        <f t="shared" si="19"/>
        <v>0.38193469695943</v>
      </c>
    </row>
    <row r="287" spans="1:16" x14ac:dyDescent="0.25">
      <c r="A287" s="5" t="s">
        <v>359</v>
      </c>
      <c r="B287" s="31">
        <v>45081</v>
      </c>
      <c r="C287" s="29" t="s">
        <v>48</v>
      </c>
      <c r="D287" s="5" t="s">
        <v>49</v>
      </c>
      <c r="E287" s="5" t="s">
        <v>44</v>
      </c>
      <c r="F287" s="5" t="s">
        <v>20</v>
      </c>
      <c r="G287" s="5" t="s">
        <v>54</v>
      </c>
      <c r="H287" s="5" t="s">
        <v>51</v>
      </c>
      <c r="I287" s="32">
        <v>8.69</v>
      </c>
      <c r="J287" s="6">
        <v>5</v>
      </c>
      <c r="K287" s="32">
        <f t="shared" si="16"/>
        <v>43.449999999999996</v>
      </c>
      <c r="L287" s="7">
        <v>0.15</v>
      </c>
      <c r="M287" s="32">
        <f t="shared" si="17"/>
        <v>43.384824999999999</v>
      </c>
      <c r="N287" s="32">
        <v>24.1</v>
      </c>
      <c r="O287" s="32">
        <f t="shared" si="18"/>
        <v>19.284824999999998</v>
      </c>
      <c r="P287" s="8">
        <f t="shared" si="19"/>
        <v>0.4445062300009277</v>
      </c>
    </row>
    <row r="288" spans="1:16" x14ac:dyDescent="0.25">
      <c r="A288" s="1" t="s">
        <v>360</v>
      </c>
      <c r="B288" s="30">
        <v>45004</v>
      </c>
      <c r="C288" s="1" t="s">
        <v>58</v>
      </c>
      <c r="D288" s="1" t="s">
        <v>25</v>
      </c>
      <c r="E288" s="1" t="s">
        <v>83</v>
      </c>
      <c r="F288" s="1" t="s">
        <v>66</v>
      </c>
      <c r="G288" s="1" t="s">
        <v>67</v>
      </c>
      <c r="H288" s="1" t="s">
        <v>68</v>
      </c>
      <c r="I288" s="33">
        <v>73.069999999999993</v>
      </c>
      <c r="J288" s="2">
        <v>23</v>
      </c>
      <c r="K288" s="33">
        <f t="shared" si="16"/>
        <v>1680.61</v>
      </c>
      <c r="L288" s="3">
        <v>0</v>
      </c>
      <c r="M288" s="33">
        <f t="shared" si="17"/>
        <v>1680.61</v>
      </c>
      <c r="N288" s="33">
        <v>989.36</v>
      </c>
      <c r="O288" s="33">
        <f t="shared" si="18"/>
        <v>691.24999999999989</v>
      </c>
      <c r="P288" s="4">
        <f t="shared" si="19"/>
        <v>0.41130898899804236</v>
      </c>
    </row>
    <row r="289" spans="1:16" x14ac:dyDescent="0.25">
      <c r="A289" s="5" t="s">
        <v>361</v>
      </c>
      <c r="B289" s="31">
        <v>45148</v>
      </c>
      <c r="C289" s="5" t="s">
        <v>62</v>
      </c>
      <c r="D289" s="5" t="s">
        <v>35</v>
      </c>
      <c r="E289" s="5" t="s">
        <v>44</v>
      </c>
      <c r="F289" s="5" t="s">
        <v>26</v>
      </c>
      <c r="G289" s="5" t="s">
        <v>94</v>
      </c>
      <c r="H289" s="5" t="s">
        <v>68</v>
      </c>
      <c r="I289" s="32">
        <v>108.87</v>
      </c>
      <c r="J289" s="6">
        <v>28</v>
      </c>
      <c r="K289" s="32">
        <f t="shared" si="16"/>
        <v>3048.36</v>
      </c>
      <c r="L289" s="7">
        <v>0.1</v>
      </c>
      <c r="M289" s="32">
        <f t="shared" si="17"/>
        <v>3045.3116399999999</v>
      </c>
      <c r="N289" s="32">
        <v>2097.2199999999998</v>
      </c>
      <c r="O289" s="32">
        <f t="shared" si="18"/>
        <v>948.0916400000001</v>
      </c>
      <c r="P289" s="8">
        <f t="shared" si="19"/>
        <v>0.31132828165986981</v>
      </c>
    </row>
    <row r="290" spans="1:16" x14ac:dyDescent="0.25">
      <c r="A290" s="1" t="s">
        <v>362</v>
      </c>
      <c r="B290" s="30">
        <v>45143</v>
      </c>
      <c r="C290" s="1" t="s">
        <v>62</v>
      </c>
      <c r="D290" s="1" t="s">
        <v>35</v>
      </c>
      <c r="E290" s="1" t="s">
        <v>44</v>
      </c>
      <c r="F290" s="1" t="s">
        <v>66</v>
      </c>
      <c r="G290" s="1" t="s">
        <v>77</v>
      </c>
      <c r="H290" s="1" t="s">
        <v>68</v>
      </c>
      <c r="I290" s="33">
        <v>19.88</v>
      </c>
      <c r="J290" s="2">
        <v>16</v>
      </c>
      <c r="K290" s="33">
        <f t="shared" si="16"/>
        <v>318.08</v>
      </c>
      <c r="L290" s="3">
        <v>0.15</v>
      </c>
      <c r="M290" s="33">
        <f t="shared" si="17"/>
        <v>317.60288000000003</v>
      </c>
      <c r="N290" s="33">
        <v>199.63</v>
      </c>
      <c r="O290" s="33">
        <f t="shared" si="18"/>
        <v>117.97288000000003</v>
      </c>
      <c r="P290" s="4">
        <f t="shared" si="19"/>
        <v>0.37144776520918205</v>
      </c>
    </row>
    <row r="291" spans="1:16" x14ac:dyDescent="0.25">
      <c r="A291" s="5" t="s">
        <v>363</v>
      </c>
      <c r="B291" s="31">
        <v>45154</v>
      </c>
      <c r="C291" s="5" t="s">
        <v>62</v>
      </c>
      <c r="D291" s="5" t="s">
        <v>35</v>
      </c>
      <c r="E291" s="5" t="s">
        <v>44</v>
      </c>
      <c r="F291" s="5" t="s">
        <v>45</v>
      </c>
      <c r="G291" s="5" t="s">
        <v>50</v>
      </c>
      <c r="H291" s="5" t="s">
        <v>28</v>
      </c>
      <c r="I291" s="32">
        <v>51.92</v>
      </c>
      <c r="J291" s="6">
        <v>8</v>
      </c>
      <c r="K291" s="32">
        <f t="shared" si="16"/>
        <v>415.36</v>
      </c>
      <c r="L291" s="7">
        <v>0.05</v>
      </c>
      <c r="M291" s="32">
        <f t="shared" si="17"/>
        <v>415.15232000000003</v>
      </c>
      <c r="N291" s="32">
        <v>190.3</v>
      </c>
      <c r="O291" s="32">
        <f t="shared" si="18"/>
        <v>224.85232000000002</v>
      </c>
      <c r="P291" s="8">
        <f t="shared" si="19"/>
        <v>0.5416140273526594</v>
      </c>
    </row>
    <row r="292" spans="1:16" x14ac:dyDescent="0.25">
      <c r="A292" s="1" t="s">
        <v>364</v>
      </c>
      <c r="B292" s="30">
        <v>45034</v>
      </c>
      <c r="C292" s="1" t="s">
        <v>74</v>
      </c>
      <c r="D292" s="1" t="s">
        <v>49</v>
      </c>
      <c r="E292" s="1" t="s">
        <v>36</v>
      </c>
      <c r="F292" s="1" t="s">
        <v>26</v>
      </c>
      <c r="G292" s="1" t="s">
        <v>31</v>
      </c>
      <c r="H292" s="1" t="s">
        <v>68</v>
      </c>
      <c r="I292" s="33">
        <v>234.97</v>
      </c>
      <c r="J292" s="2">
        <v>4</v>
      </c>
      <c r="K292" s="33">
        <f t="shared" si="16"/>
        <v>939.88</v>
      </c>
      <c r="L292" s="3">
        <v>0</v>
      </c>
      <c r="M292" s="33">
        <f t="shared" si="17"/>
        <v>939.88</v>
      </c>
      <c r="N292" s="33">
        <v>485.9</v>
      </c>
      <c r="O292" s="33">
        <f t="shared" si="18"/>
        <v>453.98</v>
      </c>
      <c r="P292" s="4">
        <f t="shared" si="19"/>
        <v>0.4830191088224029</v>
      </c>
    </row>
    <row r="293" spans="1:16" x14ac:dyDescent="0.25">
      <c r="A293" s="5" t="s">
        <v>365</v>
      </c>
      <c r="B293" s="31">
        <v>45196</v>
      </c>
      <c r="C293" s="5" t="s">
        <v>71</v>
      </c>
      <c r="D293" s="5" t="s">
        <v>35</v>
      </c>
      <c r="E293" s="5" t="s">
        <v>36</v>
      </c>
      <c r="F293" s="5" t="s">
        <v>40</v>
      </c>
      <c r="G293" s="5" t="s">
        <v>63</v>
      </c>
      <c r="H293" s="5" t="s">
        <v>68</v>
      </c>
      <c r="I293" s="32">
        <v>29.33</v>
      </c>
      <c r="J293" s="6">
        <v>14</v>
      </c>
      <c r="K293" s="32">
        <f t="shared" si="16"/>
        <v>410.62</v>
      </c>
      <c r="L293" s="7">
        <v>0</v>
      </c>
      <c r="M293" s="32">
        <f t="shared" si="17"/>
        <v>410.62</v>
      </c>
      <c r="N293" s="32">
        <v>260.33</v>
      </c>
      <c r="O293" s="32">
        <f t="shared" si="18"/>
        <v>150.29000000000002</v>
      </c>
      <c r="P293" s="8">
        <f t="shared" si="19"/>
        <v>0.36600750085236966</v>
      </c>
    </row>
    <row r="294" spans="1:16" x14ac:dyDescent="0.25">
      <c r="A294" s="1" t="s">
        <v>366</v>
      </c>
      <c r="B294" s="30">
        <v>45255</v>
      </c>
      <c r="C294" s="1" t="s">
        <v>17</v>
      </c>
      <c r="D294" s="1" t="s">
        <v>18</v>
      </c>
      <c r="E294" s="1" t="s">
        <v>44</v>
      </c>
      <c r="F294" s="1" t="s">
        <v>20</v>
      </c>
      <c r="G294" s="1" t="s">
        <v>54</v>
      </c>
      <c r="H294" s="1" t="s">
        <v>68</v>
      </c>
      <c r="I294" s="33">
        <v>8.25</v>
      </c>
      <c r="J294" s="2">
        <v>28</v>
      </c>
      <c r="K294" s="33">
        <f t="shared" si="16"/>
        <v>231</v>
      </c>
      <c r="L294" s="3">
        <v>0</v>
      </c>
      <c r="M294" s="33">
        <f t="shared" si="17"/>
        <v>231</v>
      </c>
      <c r="N294" s="33">
        <v>129.33000000000001</v>
      </c>
      <c r="O294" s="33">
        <f t="shared" si="18"/>
        <v>101.66999999999999</v>
      </c>
      <c r="P294" s="4">
        <f t="shared" si="19"/>
        <v>0.44012987012987009</v>
      </c>
    </row>
    <row r="295" spans="1:16" x14ac:dyDescent="0.25">
      <c r="A295" s="5" t="s">
        <v>367</v>
      </c>
      <c r="B295" s="31">
        <v>44982</v>
      </c>
      <c r="C295" s="5" t="s">
        <v>43</v>
      </c>
      <c r="D295" s="5" t="s">
        <v>25</v>
      </c>
      <c r="E295" s="5" t="s">
        <v>44</v>
      </c>
      <c r="F295" s="5" t="s">
        <v>26</v>
      </c>
      <c r="G295" s="5" t="s">
        <v>207</v>
      </c>
      <c r="H295" s="5" t="s">
        <v>32</v>
      </c>
      <c r="I295" s="32">
        <v>46.57</v>
      </c>
      <c r="J295" s="6">
        <v>20</v>
      </c>
      <c r="K295" s="32">
        <f t="shared" si="16"/>
        <v>931.4</v>
      </c>
      <c r="L295" s="7">
        <v>0.15</v>
      </c>
      <c r="M295" s="32">
        <f t="shared" si="17"/>
        <v>930.00290000000007</v>
      </c>
      <c r="N295" s="32">
        <v>457.76</v>
      </c>
      <c r="O295" s="32">
        <f t="shared" si="18"/>
        <v>472.24290000000008</v>
      </c>
      <c r="P295" s="8">
        <f t="shared" si="19"/>
        <v>0.50778648109591917</v>
      </c>
    </row>
    <row r="296" spans="1:16" x14ac:dyDescent="0.25">
      <c r="A296" s="1" t="s">
        <v>368</v>
      </c>
      <c r="B296" s="30">
        <v>45011</v>
      </c>
      <c r="C296" s="1" t="s">
        <v>58</v>
      </c>
      <c r="D296" s="1" t="s">
        <v>25</v>
      </c>
      <c r="E296" s="1" t="s">
        <v>44</v>
      </c>
      <c r="F296" s="1" t="s">
        <v>26</v>
      </c>
      <c r="G296" s="1" t="s">
        <v>120</v>
      </c>
      <c r="H296" s="1" t="s">
        <v>32</v>
      </c>
      <c r="I296" s="33">
        <v>209.91</v>
      </c>
      <c r="J296" s="2">
        <v>20</v>
      </c>
      <c r="K296" s="33">
        <f t="shared" si="16"/>
        <v>4198.2</v>
      </c>
      <c r="L296" s="3">
        <v>0</v>
      </c>
      <c r="M296" s="33">
        <f t="shared" si="17"/>
        <v>4198.2</v>
      </c>
      <c r="N296" s="33">
        <v>2228.83</v>
      </c>
      <c r="O296" s="33">
        <f t="shared" si="18"/>
        <v>1969.37</v>
      </c>
      <c r="P296" s="4">
        <f t="shared" si="19"/>
        <v>0.46909866133104661</v>
      </c>
    </row>
    <row r="297" spans="1:16" x14ac:dyDescent="0.25">
      <c r="A297" s="5" t="s">
        <v>369</v>
      </c>
      <c r="B297" s="31">
        <v>45270</v>
      </c>
      <c r="C297" s="5" t="s">
        <v>82</v>
      </c>
      <c r="D297" s="5" t="s">
        <v>18</v>
      </c>
      <c r="E297" s="5" t="s">
        <v>36</v>
      </c>
      <c r="F297" s="5" t="s">
        <v>40</v>
      </c>
      <c r="G297" s="5" t="s">
        <v>41</v>
      </c>
      <c r="H297" s="5" t="s">
        <v>64</v>
      </c>
      <c r="I297" s="32">
        <v>53.23</v>
      </c>
      <c r="J297" s="6">
        <v>25</v>
      </c>
      <c r="K297" s="32">
        <f t="shared" si="16"/>
        <v>1330.75</v>
      </c>
      <c r="L297" s="7">
        <v>0.15</v>
      </c>
      <c r="M297" s="32">
        <f t="shared" si="17"/>
        <v>1328.7538750000001</v>
      </c>
      <c r="N297" s="32">
        <v>904.48</v>
      </c>
      <c r="O297" s="32">
        <f t="shared" si="18"/>
        <v>424.27387500000009</v>
      </c>
      <c r="P297" s="8">
        <f t="shared" si="19"/>
        <v>0.31930207917549819</v>
      </c>
    </row>
    <row r="298" spans="1:16" x14ac:dyDescent="0.25">
      <c r="A298" s="1" t="s">
        <v>370</v>
      </c>
      <c r="B298" s="30">
        <v>45074</v>
      </c>
      <c r="C298" s="1" t="s">
        <v>53</v>
      </c>
      <c r="D298" s="1" t="s">
        <v>49</v>
      </c>
      <c r="E298" s="1" t="s">
        <v>44</v>
      </c>
      <c r="F298" s="1" t="s">
        <v>26</v>
      </c>
      <c r="G298" s="1" t="s">
        <v>27</v>
      </c>
      <c r="H298" s="1" t="s">
        <v>51</v>
      </c>
      <c r="I298" s="33">
        <v>188.35</v>
      </c>
      <c r="J298" s="2">
        <v>27</v>
      </c>
      <c r="K298" s="33">
        <f t="shared" si="16"/>
        <v>5085.45</v>
      </c>
      <c r="L298" s="3">
        <v>0.05</v>
      </c>
      <c r="M298" s="33">
        <f t="shared" si="17"/>
        <v>5082.9072750000005</v>
      </c>
      <c r="N298" s="33">
        <v>3256.64</v>
      </c>
      <c r="O298" s="33">
        <f t="shared" si="18"/>
        <v>1826.2672750000006</v>
      </c>
      <c r="P298" s="4">
        <f t="shared" si="19"/>
        <v>0.35929580773239672</v>
      </c>
    </row>
    <row r="299" spans="1:16" x14ac:dyDescent="0.25">
      <c r="A299" s="5" t="s">
        <v>371</v>
      </c>
      <c r="B299" s="31">
        <v>45243</v>
      </c>
      <c r="C299" s="5" t="s">
        <v>17</v>
      </c>
      <c r="D299" s="5" t="s">
        <v>18</v>
      </c>
      <c r="E299" s="5" t="s">
        <v>83</v>
      </c>
      <c r="F299" s="5" t="s">
        <v>26</v>
      </c>
      <c r="G299" s="5" t="s">
        <v>207</v>
      </c>
      <c r="H299" s="5" t="s">
        <v>38</v>
      </c>
      <c r="I299" s="32">
        <v>42.49</v>
      </c>
      <c r="J299" s="6">
        <v>13</v>
      </c>
      <c r="K299" s="32">
        <f t="shared" si="16"/>
        <v>552.37</v>
      </c>
      <c r="L299" s="7">
        <v>0.2</v>
      </c>
      <c r="M299" s="32">
        <f t="shared" si="17"/>
        <v>551.26526000000001</v>
      </c>
      <c r="N299" s="32">
        <v>258.97000000000003</v>
      </c>
      <c r="O299" s="32">
        <f t="shared" si="18"/>
        <v>292.29525999999998</v>
      </c>
      <c r="P299" s="8">
        <f t="shared" si="19"/>
        <v>0.5302261564605032</v>
      </c>
    </row>
    <row r="300" spans="1:16" x14ac:dyDescent="0.25">
      <c r="A300" s="1" t="s">
        <v>372</v>
      </c>
      <c r="B300" s="30">
        <v>44970</v>
      </c>
      <c r="C300" s="1" t="s">
        <v>43</v>
      </c>
      <c r="D300" s="1" t="s">
        <v>25</v>
      </c>
      <c r="E300" s="1" t="s">
        <v>36</v>
      </c>
      <c r="F300" s="1" t="s">
        <v>20</v>
      </c>
      <c r="G300" s="1" t="s">
        <v>113</v>
      </c>
      <c r="H300" s="1" t="s">
        <v>68</v>
      </c>
      <c r="I300" s="33">
        <v>21.27</v>
      </c>
      <c r="J300" s="2">
        <v>1</v>
      </c>
      <c r="K300" s="33">
        <f t="shared" si="16"/>
        <v>21.27</v>
      </c>
      <c r="L300" s="3">
        <v>0</v>
      </c>
      <c r="M300" s="33">
        <f t="shared" si="17"/>
        <v>21.27</v>
      </c>
      <c r="N300" s="33">
        <v>13.46</v>
      </c>
      <c r="O300" s="33">
        <f t="shared" si="18"/>
        <v>7.8099999999999987</v>
      </c>
      <c r="P300" s="4">
        <f t="shared" si="19"/>
        <v>0.3671838269863657</v>
      </c>
    </row>
    <row r="301" spans="1:16" x14ac:dyDescent="0.25">
      <c r="A301" s="5" t="s">
        <v>373</v>
      </c>
      <c r="B301" s="31">
        <v>45159</v>
      </c>
      <c r="C301" s="5" t="s">
        <v>62</v>
      </c>
      <c r="D301" s="5" t="s">
        <v>35</v>
      </c>
      <c r="E301" s="5" t="s">
        <v>36</v>
      </c>
      <c r="F301" s="5" t="s">
        <v>45</v>
      </c>
      <c r="G301" s="5" t="s">
        <v>50</v>
      </c>
      <c r="H301" s="5" t="s">
        <v>56</v>
      </c>
      <c r="I301" s="32">
        <v>40.36</v>
      </c>
      <c r="J301" s="6">
        <v>14</v>
      </c>
      <c r="K301" s="32">
        <f t="shared" si="16"/>
        <v>565.04</v>
      </c>
      <c r="L301" s="7">
        <v>0.05</v>
      </c>
      <c r="M301" s="32">
        <f t="shared" si="17"/>
        <v>564.75747999999999</v>
      </c>
      <c r="N301" s="32">
        <v>324.12</v>
      </c>
      <c r="O301" s="32">
        <f t="shared" si="18"/>
        <v>240.63747999999998</v>
      </c>
      <c r="P301" s="8">
        <f t="shared" si="19"/>
        <v>0.42608993864056477</v>
      </c>
    </row>
  </sheetData>
  <conditionalFormatting sqref="P1:P301">
    <cfRule type="cellIs" dxfId="3" priority="3" operator="lessThan">
      <formula>0.4</formula>
    </cfRule>
    <cfRule type="cellIs" dxfId="2" priority="4" operator="lessThan">
      <formula>0.1</formula>
    </cfRule>
  </conditionalFormatting>
  <conditionalFormatting sqref="P2:P301">
    <cfRule type="cellIs" dxfId="1" priority="1" operator="equal">
      <formula>0.4</formula>
    </cfRule>
    <cfRule type="cellIs" dxfId="0" priority="2" operator="greaterThan">
      <formula>0.4</formula>
    </cfRule>
  </conditionalFormatting>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5496"/>
  </sheetPr>
  <dimension ref="A1:F21"/>
  <sheetViews>
    <sheetView topLeftCell="A16" zoomScaleNormal="100" workbookViewId="0">
      <selection activeCell="F13" sqref="F13"/>
    </sheetView>
  </sheetViews>
  <sheetFormatPr defaultColWidth="8.7109375" defaultRowHeight="15" x14ac:dyDescent="0.25"/>
  <cols>
    <col min="1" max="1" width="5" customWidth="1"/>
    <col min="2" max="2" width="32" customWidth="1"/>
    <col min="3" max="3" width="60" customWidth="1"/>
    <col min="4" max="4" width="22" customWidth="1"/>
    <col min="5" max="5" width="14" customWidth="1"/>
  </cols>
  <sheetData>
    <row r="1" spans="1:6" ht="42" customHeight="1" x14ac:dyDescent="0.25">
      <c r="A1" s="47" t="s">
        <v>374</v>
      </c>
      <c r="B1" s="47"/>
      <c r="C1" s="47"/>
      <c r="D1" s="47"/>
      <c r="E1" s="47"/>
    </row>
    <row r="2" spans="1:6" ht="21.75" customHeight="1" x14ac:dyDescent="0.25">
      <c r="A2" s="48" t="s">
        <v>375</v>
      </c>
      <c r="B2" s="48"/>
      <c r="C2" s="48"/>
      <c r="D2" s="48"/>
      <c r="E2" s="48"/>
    </row>
    <row r="3" spans="1:6" ht="27.75" customHeight="1" x14ac:dyDescent="0.25">
      <c r="A3" s="9" t="s">
        <v>376</v>
      </c>
      <c r="B3" s="9" t="s">
        <v>377</v>
      </c>
      <c r="C3" s="9" t="s">
        <v>378</v>
      </c>
      <c r="D3" s="9" t="s">
        <v>379</v>
      </c>
      <c r="E3" s="9" t="s">
        <v>380</v>
      </c>
    </row>
    <row r="4" spans="1:6" ht="90" customHeight="1" x14ac:dyDescent="0.25">
      <c r="A4" s="10">
        <v>1</v>
      </c>
      <c r="B4" s="11" t="s">
        <v>381</v>
      </c>
      <c r="C4" s="34" t="s">
        <v>466</v>
      </c>
      <c r="D4" s="13" t="s">
        <v>382</v>
      </c>
      <c r="E4" s="14" t="s">
        <v>383</v>
      </c>
      <c r="F4" t="s">
        <v>467</v>
      </c>
    </row>
    <row r="5" spans="1:6" ht="90" customHeight="1" x14ac:dyDescent="0.25">
      <c r="A5" s="10">
        <v>2</v>
      </c>
      <c r="B5" s="15" t="s">
        <v>384</v>
      </c>
      <c r="C5" s="16" t="s">
        <v>385</v>
      </c>
      <c r="D5" s="17" t="s">
        <v>384</v>
      </c>
      <c r="E5" s="18" t="s">
        <v>386</v>
      </c>
      <c r="F5" t="s">
        <v>467</v>
      </c>
    </row>
    <row r="6" spans="1:6" ht="90" customHeight="1" x14ac:dyDescent="0.25">
      <c r="A6" s="10">
        <v>3</v>
      </c>
      <c r="B6" s="11" t="s">
        <v>387</v>
      </c>
      <c r="C6" s="12" t="s">
        <v>388</v>
      </c>
      <c r="D6" s="13" t="s">
        <v>389</v>
      </c>
      <c r="E6" s="14" t="s">
        <v>390</v>
      </c>
      <c r="F6" t="s">
        <v>467</v>
      </c>
    </row>
    <row r="7" spans="1:6" ht="90" customHeight="1" x14ac:dyDescent="0.25">
      <c r="A7" s="10">
        <v>4</v>
      </c>
      <c r="B7" s="15" t="s">
        <v>391</v>
      </c>
      <c r="C7" s="16" t="s">
        <v>392</v>
      </c>
      <c r="D7" s="17" t="s">
        <v>393</v>
      </c>
      <c r="E7" s="18" t="s">
        <v>390</v>
      </c>
      <c r="F7" t="s">
        <v>467</v>
      </c>
    </row>
    <row r="8" spans="1:6" ht="90" customHeight="1" x14ac:dyDescent="0.25">
      <c r="A8" s="10">
        <v>5</v>
      </c>
      <c r="B8" s="11" t="s">
        <v>394</v>
      </c>
      <c r="C8" s="12" t="s">
        <v>395</v>
      </c>
      <c r="D8" s="13" t="s">
        <v>396</v>
      </c>
      <c r="E8" s="14" t="s">
        <v>390</v>
      </c>
      <c r="F8" t="s">
        <v>467</v>
      </c>
    </row>
    <row r="9" spans="1:6" ht="90" customHeight="1" x14ac:dyDescent="0.25">
      <c r="A9" s="10">
        <v>6</v>
      </c>
      <c r="B9" s="15" t="s">
        <v>397</v>
      </c>
      <c r="C9" s="43" t="s">
        <v>398</v>
      </c>
      <c r="D9" s="17" t="s">
        <v>399</v>
      </c>
      <c r="E9" s="18" t="s">
        <v>390</v>
      </c>
      <c r="F9" t="s">
        <v>467</v>
      </c>
    </row>
    <row r="10" spans="1:6" ht="90" customHeight="1" x14ac:dyDescent="0.25">
      <c r="A10" s="10">
        <v>7</v>
      </c>
      <c r="B10" s="11" t="s">
        <v>400</v>
      </c>
      <c r="C10" s="34" t="s">
        <v>401</v>
      </c>
      <c r="D10" s="13" t="s">
        <v>402</v>
      </c>
      <c r="E10" s="14" t="s">
        <v>383</v>
      </c>
      <c r="F10" t="s">
        <v>467</v>
      </c>
    </row>
    <row r="11" spans="1:6" ht="90" customHeight="1" x14ac:dyDescent="0.25">
      <c r="A11" s="10">
        <v>8</v>
      </c>
      <c r="B11" s="15" t="s">
        <v>403</v>
      </c>
      <c r="C11" s="43" t="s">
        <v>404</v>
      </c>
      <c r="D11" s="17" t="s">
        <v>405</v>
      </c>
      <c r="E11" s="18" t="s">
        <v>383</v>
      </c>
      <c r="F11" t="s">
        <v>467</v>
      </c>
    </row>
    <row r="12" spans="1:6" ht="90" customHeight="1" x14ac:dyDescent="0.25">
      <c r="A12" s="10">
        <v>9</v>
      </c>
      <c r="B12" s="11" t="s">
        <v>406</v>
      </c>
      <c r="C12" s="12" t="s">
        <v>407</v>
      </c>
      <c r="D12" s="13" t="s">
        <v>408</v>
      </c>
      <c r="E12" s="14" t="s">
        <v>390</v>
      </c>
      <c r="F12" t="s">
        <v>467</v>
      </c>
    </row>
    <row r="13" spans="1:6" ht="90" customHeight="1" x14ac:dyDescent="0.25">
      <c r="A13" s="10">
        <v>10</v>
      </c>
      <c r="B13" s="15" t="s">
        <v>409</v>
      </c>
      <c r="C13" s="16" t="s">
        <v>410</v>
      </c>
      <c r="D13" s="17" t="s">
        <v>411</v>
      </c>
      <c r="E13" s="18" t="s">
        <v>412</v>
      </c>
    </row>
    <row r="14" spans="1:6" ht="27.75" customHeight="1" x14ac:dyDescent="0.25">
      <c r="A14" s="49" t="s">
        <v>413</v>
      </c>
      <c r="B14" s="49"/>
      <c r="C14" s="49"/>
      <c r="D14" s="49"/>
      <c r="E14" s="19" t="s">
        <v>414</v>
      </c>
    </row>
    <row r="16" spans="1:6" ht="25.5" customHeight="1" x14ac:dyDescent="0.25">
      <c r="A16" s="50" t="s">
        <v>415</v>
      </c>
      <c r="B16" s="50"/>
      <c r="C16" s="50"/>
      <c r="D16" s="50"/>
      <c r="E16" s="50"/>
    </row>
    <row r="17" spans="1:5" x14ac:dyDescent="0.25">
      <c r="A17" s="20" t="s">
        <v>416</v>
      </c>
      <c r="B17" s="20" t="s">
        <v>417</v>
      </c>
      <c r="C17" s="20" t="s">
        <v>418</v>
      </c>
      <c r="D17" s="51"/>
      <c r="E17" s="51"/>
    </row>
    <row r="18" spans="1:5" ht="21.75" customHeight="1" x14ac:dyDescent="0.25">
      <c r="A18" s="21" t="s">
        <v>419</v>
      </c>
      <c r="B18" s="21" t="s">
        <v>420</v>
      </c>
      <c r="C18" s="44" t="s">
        <v>421</v>
      </c>
      <c r="D18" s="44"/>
      <c r="E18" s="44"/>
    </row>
    <row r="19" spans="1:5" ht="21.75" customHeight="1" x14ac:dyDescent="0.25">
      <c r="A19" s="21" t="s">
        <v>422</v>
      </c>
      <c r="B19" s="21" t="s">
        <v>423</v>
      </c>
      <c r="C19" s="44" t="s">
        <v>424</v>
      </c>
      <c r="D19" s="44"/>
      <c r="E19" s="44"/>
    </row>
    <row r="20" spans="1:5" ht="21.75" customHeight="1" x14ac:dyDescent="0.25">
      <c r="A20" s="5" t="s">
        <v>425</v>
      </c>
      <c r="B20" s="5" t="s">
        <v>426</v>
      </c>
      <c r="C20" s="45" t="s">
        <v>427</v>
      </c>
      <c r="D20" s="45"/>
      <c r="E20" s="45"/>
    </row>
    <row r="21" spans="1:5" ht="21.75" customHeight="1" x14ac:dyDescent="0.25">
      <c r="A21" s="23" t="s">
        <v>428</v>
      </c>
      <c r="B21" s="23" t="s">
        <v>429</v>
      </c>
      <c r="C21" s="46" t="s">
        <v>430</v>
      </c>
      <c r="D21" s="46"/>
      <c r="E21" s="46"/>
    </row>
  </sheetData>
  <mergeCells count="9">
    <mergeCell ref="C18:E18"/>
    <mergeCell ref="C19:E19"/>
    <mergeCell ref="C20:E20"/>
    <mergeCell ref="C21:E21"/>
    <mergeCell ref="A1:E1"/>
    <mergeCell ref="A2:E2"/>
    <mergeCell ref="A14:D14"/>
    <mergeCell ref="A16:E16"/>
    <mergeCell ref="D17:E17"/>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5275D-79A3-47F1-8C3D-4D7F6B5B4777}">
  <dimension ref="A1:Z42"/>
  <sheetViews>
    <sheetView zoomScale="85" zoomScaleNormal="85" workbookViewId="0">
      <selection activeCell="Z36" sqref="Z36"/>
    </sheetView>
  </sheetViews>
  <sheetFormatPr defaultRowHeight="15" x14ac:dyDescent="0.25"/>
  <cols>
    <col min="1" max="1" width="19.42578125" bestFit="1" customWidth="1"/>
    <col min="2" max="2" width="16.28515625" bestFit="1" customWidth="1"/>
    <col min="3" max="3" width="10.5703125" bestFit="1" customWidth="1"/>
    <col min="4" max="4" width="9.28515625" bestFit="1" customWidth="1"/>
    <col min="5" max="5" width="14.5703125" bestFit="1" customWidth="1"/>
    <col min="6" max="6" width="6.7109375" bestFit="1" customWidth="1"/>
    <col min="7" max="7" width="11.28515625" bestFit="1" customWidth="1"/>
    <col min="9" max="9" width="11.28515625" bestFit="1" customWidth="1"/>
    <col min="10" max="10" width="15.5703125" bestFit="1" customWidth="1"/>
    <col min="11" max="11" width="25.140625" bestFit="1" customWidth="1"/>
  </cols>
  <sheetData>
    <row r="1" spans="1:26" x14ac:dyDescent="0.25">
      <c r="A1" s="72" t="s">
        <v>483</v>
      </c>
      <c r="B1" s="72"/>
      <c r="C1" s="72"/>
      <c r="D1" s="72"/>
      <c r="E1" s="72"/>
      <c r="F1" s="72"/>
      <c r="G1" s="72"/>
      <c r="H1" s="72"/>
      <c r="I1" s="72"/>
      <c r="J1" s="72"/>
      <c r="K1" s="72"/>
      <c r="L1" s="72"/>
      <c r="M1" s="72"/>
      <c r="N1" s="72"/>
      <c r="O1" s="72"/>
      <c r="P1" s="72"/>
      <c r="Q1" s="72"/>
      <c r="R1" s="72"/>
      <c r="S1" s="72"/>
      <c r="T1" s="72"/>
      <c r="U1" s="72"/>
      <c r="V1" s="72"/>
      <c r="W1" s="72"/>
      <c r="X1" s="72"/>
      <c r="Y1" s="72"/>
      <c r="Z1" s="72"/>
    </row>
    <row r="2" spans="1:26" x14ac:dyDescent="0.25">
      <c r="A2" s="72"/>
      <c r="B2" s="72"/>
      <c r="C2" s="72"/>
      <c r="D2" s="72"/>
      <c r="E2" s="72"/>
      <c r="F2" s="72"/>
      <c r="G2" s="72"/>
      <c r="H2" s="72"/>
      <c r="I2" s="72"/>
      <c r="J2" s="72"/>
      <c r="K2" s="72"/>
      <c r="L2" s="72"/>
      <c r="M2" s="72"/>
      <c r="N2" s="72"/>
      <c r="O2" s="72"/>
      <c r="P2" s="72"/>
      <c r="Q2" s="72"/>
      <c r="R2" s="72"/>
      <c r="S2" s="72"/>
      <c r="T2" s="72"/>
      <c r="U2" s="72"/>
      <c r="V2" s="72"/>
      <c r="W2" s="72"/>
      <c r="X2" s="72"/>
      <c r="Y2" s="72"/>
      <c r="Z2" s="72"/>
    </row>
    <row r="3" spans="1:26" ht="15.75" thickBot="1" x14ac:dyDescent="0.3">
      <c r="A3" s="72"/>
      <c r="B3" s="72"/>
      <c r="C3" s="72"/>
      <c r="D3" s="72"/>
      <c r="E3" s="72"/>
      <c r="F3" s="72"/>
      <c r="G3" s="72"/>
      <c r="H3" s="72"/>
      <c r="I3" s="72"/>
      <c r="J3" s="72"/>
      <c r="K3" s="72"/>
      <c r="L3" s="72"/>
      <c r="M3" s="72"/>
      <c r="N3" s="72"/>
      <c r="O3" s="72"/>
      <c r="P3" s="72"/>
      <c r="Q3" s="72"/>
      <c r="R3" s="72"/>
      <c r="S3" s="72"/>
      <c r="T3" s="72"/>
      <c r="U3" s="72"/>
      <c r="V3" s="72"/>
      <c r="W3" s="72"/>
      <c r="X3" s="72"/>
      <c r="Y3" s="72"/>
      <c r="Z3" s="72"/>
    </row>
    <row r="4" spans="1:26" ht="15.75" customHeight="1" x14ac:dyDescent="0.3">
      <c r="A4" s="75" t="str">
        <f>"Total Revenue:   " &amp; CHAR(10) &amp;SUM(Revenue)</f>
        <v>Total Revenue:   
332345.98</v>
      </c>
      <c r="B4" s="75"/>
      <c r="C4" s="75"/>
      <c r="D4" s="75"/>
      <c r="E4" s="73"/>
      <c r="F4" s="76" t="str">
        <f>"Total Profit:   "&amp;CHAR(10) &amp;ROUNDUP(SUM('📦 Raw Data'!O2:O301),2)</f>
        <v>Total Profit:   
141821.49</v>
      </c>
      <c r="G4" s="76"/>
      <c r="H4" s="76"/>
      <c r="I4" s="76"/>
      <c r="J4" s="73"/>
      <c r="K4" s="77" t="str">
        <f>"Average Profit Margin%:  "&amp;CHAR(10) &amp;ROUNDUP(AVERAGE('📦 Raw Data'!P:P)*100, 2)</f>
        <v>Average Profit Margin%:  
42.64</v>
      </c>
      <c r="L4" s="77"/>
      <c r="M4" s="77"/>
      <c r="N4" s="77"/>
      <c r="O4" s="73"/>
      <c r="P4" s="80" t="str">
        <f>"Best Region base on total Net Revenue:  "&amp;CHAR(10)&amp;INDEX('Pivot-Region'!$A$3:$A$6, MATCH(MAX('Pivot-Region'!$G$3:$G$6),'Pivot-Region'!$G$3:$G$6,0))</f>
        <v>Best Region base on total Net Revenue:  
East</v>
      </c>
      <c r="Q4" s="80"/>
      <c r="R4" s="80"/>
      <c r="S4" s="80"/>
      <c r="T4" s="80"/>
      <c r="U4" s="80"/>
    </row>
    <row r="5" spans="1:26" ht="15" customHeight="1" x14ac:dyDescent="0.3">
      <c r="A5" s="74"/>
      <c r="B5" s="74"/>
      <c r="C5" s="74"/>
      <c r="D5" s="74"/>
      <c r="E5" s="73"/>
      <c r="F5" s="78"/>
      <c r="G5" s="78"/>
      <c r="H5" s="78"/>
      <c r="I5" s="78"/>
      <c r="J5" s="73"/>
      <c r="K5" s="79"/>
      <c r="L5" s="79"/>
      <c r="M5" s="79"/>
      <c r="N5" s="79"/>
      <c r="O5" s="73"/>
      <c r="P5" s="80"/>
      <c r="Q5" s="80"/>
      <c r="R5" s="80"/>
      <c r="S5" s="80"/>
      <c r="T5" s="80"/>
      <c r="U5" s="80"/>
    </row>
    <row r="6" spans="1:26" ht="17.25" customHeight="1" x14ac:dyDescent="0.3">
      <c r="A6" s="74"/>
      <c r="B6" s="74"/>
      <c r="C6" s="74"/>
      <c r="D6" s="74"/>
      <c r="E6" s="73"/>
      <c r="F6" s="78"/>
      <c r="G6" s="78"/>
      <c r="H6" s="78"/>
      <c r="I6" s="78"/>
      <c r="J6" s="73"/>
      <c r="K6" s="79"/>
      <c r="L6" s="79"/>
      <c r="M6" s="79"/>
      <c r="N6" s="79"/>
      <c r="O6" s="73"/>
      <c r="P6" s="80"/>
      <c r="Q6" s="80"/>
      <c r="R6" s="80"/>
      <c r="S6" s="80"/>
      <c r="T6" s="80"/>
      <c r="U6" s="80"/>
    </row>
    <row r="28" spans="1:11" ht="15.75" thickBot="1" x14ac:dyDescent="0.3"/>
    <row r="29" spans="1:11" x14ac:dyDescent="0.25">
      <c r="A29" s="40" t="s">
        <v>471</v>
      </c>
      <c r="B29" s="40" t="s">
        <v>470</v>
      </c>
      <c r="I29" s="62" t="s">
        <v>468</v>
      </c>
      <c r="J29" s="62" t="s">
        <v>472</v>
      </c>
      <c r="K29" s="62" t="s">
        <v>473</v>
      </c>
    </row>
    <row r="30" spans="1:11" x14ac:dyDescent="0.25">
      <c r="A30" s="40" t="s">
        <v>468</v>
      </c>
      <c r="B30" t="s">
        <v>66</v>
      </c>
      <c r="C30" t="s">
        <v>45</v>
      </c>
      <c r="D30" t="s">
        <v>26</v>
      </c>
      <c r="E30" t="s">
        <v>20</v>
      </c>
      <c r="F30" t="s">
        <v>40</v>
      </c>
      <c r="G30" t="s">
        <v>469</v>
      </c>
      <c r="I30" s="58" t="s">
        <v>24</v>
      </c>
      <c r="J30" s="63">
        <v>28908.129999999997</v>
      </c>
      <c r="K30" s="64">
        <v>0.45097753963424236</v>
      </c>
    </row>
    <row r="31" spans="1:11" x14ac:dyDescent="0.25">
      <c r="A31" s="41" t="s">
        <v>36</v>
      </c>
      <c r="B31" s="42">
        <v>14642.930285000002</v>
      </c>
      <c r="C31" s="42">
        <v>28668.696609999999</v>
      </c>
      <c r="D31" s="42">
        <v>59877.439849999995</v>
      </c>
      <c r="E31" s="42">
        <v>2981.4246699999999</v>
      </c>
      <c r="F31" s="42">
        <v>6372.2162950000011</v>
      </c>
      <c r="G31" s="42">
        <v>112542.70770999999</v>
      </c>
      <c r="I31" s="58" t="s">
        <v>43</v>
      </c>
      <c r="J31" s="63">
        <v>26306.090000000004</v>
      </c>
      <c r="K31" s="64">
        <v>0.43041392324439726</v>
      </c>
    </row>
    <row r="32" spans="1:11" x14ac:dyDescent="0.25">
      <c r="A32" s="41" t="s">
        <v>19</v>
      </c>
      <c r="B32" s="42">
        <v>11952.767959999999</v>
      </c>
      <c r="C32" s="42">
        <v>29454.817150000003</v>
      </c>
      <c r="D32" s="42">
        <v>32974.453800000003</v>
      </c>
      <c r="E32" s="42">
        <v>3962.2919600000005</v>
      </c>
      <c r="F32" s="42">
        <v>9396.6765250000008</v>
      </c>
      <c r="G32" s="42">
        <v>87741.007395000008</v>
      </c>
      <c r="I32" s="58" t="s">
        <v>58</v>
      </c>
      <c r="J32" s="63">
        <v>16746.13</v>
      </c>
      <c r="K32" s="64">
        <v>0.42141265325467581</v>
      </c>
    </row>
    <row r="33" spans="1:11" x14ac:dyDescent="0.25">
      <c r="A33" s="41" t="s">
        <v>44</v>
      </c>
      <c r="B33" s="42">
        <v>13036.210530000004</v>
      </c>
      <c r="C33" s="42">
        <v>10344.191774999999</v>
      </c>
      <c r="D33" s="42">
        <v>39915.169034999999</v>
      </c>
      <c r="E33" s="42">
        <v>3557.44956</v>
      </c>
      <c r="F33" s="42">
        <v>5303.2133749999994</v>
      </c>
      <c r="G33" s="42">
        <v>72156.234274999995</v>
      </c>
      <c r="I33" s="58" t="s">
        <v>74</v>
      </c>
      <c r="J33" s="63">
        <v>40373.99</v>
      </c>
      <c r="K33" s="64">
        <v>0.43997349961975718</v>
      </c>
    </row>
    <row r="34" spans="1:11" x14ac:dyDescent="0.25">
      <c r="A34" s="41" t="s">
        <v>83</v>
      </c>
      <c r="B34" s="42">
        <v>14215.538854999999</v>
      </c>
      <c r="C34" s="42">
        <v>15139.796124999999</v>
      </c>
      <c r="D34" s="42">
        <v>20505.330330000004</v>
      </c>
      <c r="E34" s="42">
        <v>1893.3815100000004</v>
      </c>
      <c r="F34" s="42">
        <v>7898.1283649999996</v>
      </c>
      <c r="G34" s="42">
        <v>59652.175185</v>
      </c>
      <c r="I34" s="58" t="s">
        <v>53</v>
      </c>
      <c r="J34" s="63">
        <v>26745.140000000007</v>
      </c>
      <c r="K34" s="64">
        <v>0.43865976008450414</v>
      </c>
    </row>
    <row r="35" spans="1:11" x14ac:dyDescent="0.25">
      <c r="A35" s="41" t="s">
        <v>469</v>
      </c>
      <c r="B35" s="42">
        <v>53847.447630000002</v>
      </c>
      <c r="C35" s="42">
        <v>83607.501659999994</v>
      </c>
      <c r="D35" s="42">
        <v>153272.39301500001</v>
      </c>
      <c r="E35" s="42">
        <v>12394.547700000001</v>
      </c>
      <c r="F35" s="42">
        <v>28970.234560000001</v>
      </c>
      <c r="G35" s="42">
        <v>332092.12456500001</v>
      </c>
      <c r="I35" s="58" t="s">
        <v>48</v>
      </c>
      <c r="J35" s="63">
        <v>34041.39</v>
      </c>
      <c r="K35" s="64">
        <v>0.42960588030908681</v>
      </c>
    </row>
    <row r="36" spans="1:11" x14ac:dyDescent="0.25">
      <c r="I36" s="58" t="s">
        <v>34</v>
      </c>
      <c r="J36" s="63">
        <v>26481.049999999992</v>
      </c>
      <c r="K36" s="64">
        <v>0.42605106071770771</v>
      </c>
    </row>
    <row r="37" spans="1:11" x14ac:dyDescent="0.25">
      <c r="I37" s="58" t="s">
        <v>62</v>
      </c>
      <c r="J37" s="63">
        <v>17386.370000000003</v>
      </c>
      <c r="K37" s="64">
        <v>0.39354115769713971</v>
      </c>
    </row>
    <row r="38" spans="1:11" x14ac:dyDescent="0.25">
      <c r="I38" s="58" t="s">
        <v>71</v>
      </c>
      <c r="J38" s="63">
        <v>28688.86</v>
      </c>
      <c r="K38" s="64">
        <v>0.42981045343560981</v>
      </c>
    </row>
    <row r="39" spans="1:11" x14ac:dyDescent="0.25">
      <c r="I39" s="58" t="s">
        <v>30</v>
      </c>
      <c r="J39" s="63">
        <v>35307.230000000003</v>
      </c>
      <c r="K39" s="64">
        <v>0.41682825172594723</v>
      </c>
    </row>
    <row r="40" spans="1:11" x14ac:dyDescent="0.25">
      <c r="I40" s="58" t="s">
        <v>17</v>
      </c>
      <c r="J40" s="63">
        <v>12264.2</v>
      </c>
      <c r="K40" s="64">
        <v>0.4477146700440981</v>
      </c>
    </row>
    <row r="41" spans="1:11" x14ac:dyDescent="0.25">
      <c r="I41" s="58" t="s">
        <v>82</v>
      </c>
      <c r="J41" s="63">
        <v>39097.4</v>
      </c>
      <c r="K41" s="64">
        <v>0.39360396628754657</v>
      </c>
    </row>
    <row r="42" spans="1:11" ht="15.75" thickBot="1" x14ac:dyDescent="0.3">
      <c r="I42" s="65" t="s">
        <v>469</v>
      </c>
      <c r="J42" s="66">
        <v>332345.98000000004</v>
      </c>
      <c r="K42" s="67">
        <v>0.42630852955491827</v>
      </c>
    </row>
  </sheetData>
  <mergeCells count="5">
    <mergeCell ref="P4:U6"/>
    <mergeCell ref="K4:N6"/>
    <mergeCell ref="F4:I6"/>
    <mergeCell ref="A4:D6"/>
    <mergeCell ref="A1:Z3"/>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C6D85-B4FF-48F3-9A16-7BBECF1EF6F2}">
  <dimension ref="A1:G7"/>
  <sheetViews>
    <sheetView zoomScale="130" zoomScaleNormal="130" workbookViewId="0">
      <selection activeCell="C1" sqref="A1:G7"/>
    </sheetView>
  </sheetViews>
  <sheetFormatPr defaultRowHeight="15" x14ac:dyDescent="0.25"/>
  <cols>
    <col min="1" max="1" width="19.42578125" bestFit="1" customWidth="1"/>
    <col min="2" max="2" width="16.28515625" bestFit="1" customWidth="1"/>
    <col min="3" max="3" width="10.5703125" bestFit="1" customWidth="1"/>
    <col min="4" max="4" width="9.28515625" bestFit="1" customWidth="1"/>
    <col min="5" max="5" width="14.5703125" bestFit="1" customWidth="1"/>
    <col min="6" max="6" width="7" bestFit="1" customWidth="1"/>
    <col min="7" max="7" width="11.28515625" bestFit="1" customWidth="1"/>
    <col min="8" max="8" width="19.42578125" bestFit="1" customWidth="1"/>
    <col min="9" max="9" width="22.42578125" bestFit="1" customWidth="1"/>
    <col min="10" max="10" width="19.42578125" bestFit="1" customWidth="1"/>
    <col min="11" max="11" width="22.42578125" bestFit="1" customWidth="1"/>
    <col min="12" max="12" width="24.42578125" bestFit="1" customWidth="1"/>
    <col min="13" max="13" width="27.42578125" bestFit="1" customWidth="1"/>
  </cols>
  <sheetData>
    <row r="1" spans="1:7" x14ac:dyDescent="0.25">
      <c r="A1" s="40" t="s">
        <v>471</v>
      </c>
      <c r="B1" s="40" t="s">
        <v>470</v>
      </c>
    </row>
    <row r="2" spans="1:7" x14ac:dyDescent="0.25">
      <c r="A2" s="40" t="s">
        <v>468</v>
      </c>
      <c r="B2" t="s">
        <v>66</v>
      </c>
      <c r="C2" t="s">
        <v>45</v>
      </c>
      <c r="D2" t="s">
        <v>26</v>
      </c>
      <c r="E2" t="s">
        <v>20</v>
      </c>
      <c r="F2" t="s">
        <v>40</v>
      </c>
      <c r="G2" t="s">
        <v>469</v>
      </c>
    </row>
    <row r="3" spans="1:7" x14ac:dyDescent="0.25">
      <c r="A3" s="41" t="s">
        <v>36</v>
      </c>
      <c r="B3" s="42">
        <v>14642.930285000002</v>
      </c>
      <c r="C3" s="42">
        <v>28668.696609999999</v>
      </c>
      <c r="D3" s="42">
        <v>59877.439849999995</v>
      </c>
      <c r="E3" s="42">
        <v>2981.4246699999999</v>
      </c>
      <c r="F3" s="42">
        <v>6372.2162950000011</v>
      </c>
      <c r="G3" s="42">
        <v>112542.70770999999</v>
      </c>
    </row>
    <row r="4" spans="1:7" x14ac:dyDescent="0.25">
      <c r="A4" s="41" t="s">
        <v>19</v>
      </c>
      <c r="B4" s="42">
        <v>11952.767959999999</v>
      </c>
      <c r="C4" s="42">
        <v>29454.817150000003</v>
      </c>
      <c r="D4" s="42">
        <v>32974.453800000003</v>
      </c>
      <c r="E4" s="42">
        <v>3962.2919600000005</v>
      </c>
      <c r="F4" s="42">
        <v>9396.6765250000008</v>
      </c>
      <c r="G4" s="42">
        <v>87741.007395000008</v>
      </c>
    </row>
    <row r="5" spans="1:7" x14ac:dyDescent="0.25">
      <c r="A5" s="41" t="s">
        <v>44</v>
      </c>
      <c r="B5" s="42">
        <v>13036.210530000004</v>
      </c>
      <c r="C5" s="42">
        <v>10344.191774999999</v>
      </c>
      <c r="D5" s="42">
        <v>39915.169034999999</v>
      </c>
      <c r="E5" s="42">
        <v>3557.44956</v>
      </c>
      <c r="F5" s="42">
        <v>5303.2133749999994</v>
      </c>
      <c r="G5" s="42">
        <v>72156.234274999995</v>
      </c>
    </row>
    <row r="6" spans="1:7" x14ac:dyDescent="0.25">
      <c r="A6" s="41" t="s">
        <v>83</v>
      </c>
      <c r="B6" s="42">
        <v>14215.538854999999</v>
      </c>
      <c r="C6" s="42">
        <v>15139.796124999999</v>
      </c>
      <c r="D6" s="42">
        <v>20505.330330000004</v>
      </c>
      <c r="E6" s="42">
        <v>1893.3815100000004</v>
      </c>
      <c r="F6" s="42">
        <v>7898.1283649999996</v>
      </c>
      <c r="G6" s="42">
        <v>59652.175185</v>
      </c>
    </row>
    <row r="7" spans="1:7" x14ac:dyDescent="0.25">
      <c r="A7" s="41" t="s">
        <v>469</v>
      </c>
      <c r="B7" s="42">
        <v>53847.447630000002</v>
      </c>
      <c r="C7" s="42">
        <v>83607.501659999994</v>
      </c>
      <c r="D7" s="42">
        <v>153272.39301500001</v>
      </c>
      <c r="E7" s="42">
        <v>12394.547700000001</v>
      </c>
      <c r="F7" s="42">
        <v>28970.234560000001</v>
      </c>
      <c r="G7" s="42">
        <v>332092.12456500001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AF173-67BF-4261-9B0E-D197EAF8AA11}">
  <dimension ref="A3:C18"/>
  <sheetViews>
    <sheetView zoomScale="130" zoomScaleNormal="130" workbookViewId="0">
      <selection activeCell="C26" sqref="C26"/>
    </sheetView>
  </sheetViews>
  <sheetFormatPr defaultRowHeight="15" x14ac:dyDescent="0.25"/>
  <cols>
    <col min="1" max="1" width="13.140625" bestFit="1" customWidth="1"/>
    <col min="2" max="2" width="15.5703125" bestFit="1" customWidth="1"/>
    <col min="3" max="3" width="25.140625" bestFit="1" customWidth="1"/>
    <col min="4" max="5" width="22.42578125" bestFit="1" customWidth="1"/>
  </cols>
  <sheetData>
    <row r="3" spans="1:3" x14ac:dyDescent="0.25">
      <c r="A3" s="40" t="s">
        <v>1</v>
      </c>
      <c r="B3" t="s">
        <v>474</v>
      </c>
    </row>
    <row r="5" spans="1:3" x14ac:dyDescent="0.25">
      <c r="A5" s="40" t="s">
        <v>468</v>
      </c>
      <c r="B5" t="s">
        <v>472</v>
      </c>
      <c r="C5" t="s">
        <v>473</v>
      </c>
    </row>
    <row r="6" spans="1:3" x14ac:dyDescent="0.25">
      <c r="A6" s="41" t="s">
        <v>24</v>
      </c>
      <c r="B6" s="60">
        <v>28908.129999999997</v>
      </c>
      <c r="C6" s="59">
        <v>0.45097753963424236</v>
      </c>
    </row>
    <row r="7" spans="1:3" x14ac:dyDescent="0.25">
      <c r="A7" s="41" t="s">
        <v>43</v>
      </c>
      <c r="B7" s="60">
        <v>26306.090000000004</v>
      </c>
      <c r="C7" s="59">
        <v>0.43041392324439726</v>
      </c>
    </row>
    <row r="8" spans="1:3" x14ac:dyDescent="0.25">
      <c r="A8" s="41" t="s">
        <v>58</v>
      </c>
      <c r="B8" s="60">
        <v>16746.13</v>
      </c>
      <c r="C8" s="59">
        <v>0.42141265325467581</v>
      </c>
    </row>
    <row r="9" spans="1:3" x14ac:dyDescent="0.25">
      <c r="A9" s="41" t="s">
        <v>74</v>
      </c>
      <c r="B9" s="60">
        <v>40373.99</v>
      </c>
      <c r="C9" s="59">
        <v>0.43997349961975718</v>
      </c>
    </row>
    <row r="10" spans="1:3" x14ac:dyDescent="0.25">
      <c r="A10" s="41" t="s">
        <v>53</v>
      </c>
      <c r="B10" s="60">
        <v>26745.140000000007</v>
      </c>
      <c r="C10" s="59">
        <v>0.43865976008450414</v>
      </c>
    </row>
    <row r="11" spans="1:3" x14ac:dyDescent="0.25">
      <c r="A11" s="41" t="s">
        <v>48</v>
      </c>
      <c r="B11" s="60">
        <v>34041.39</v>
      </c>
      <c r="C11" s="59">
        <v>0.42960588030908681</v>
      </c>
    </row>
    <row r="12" spans="1:3" x14ac:dyDescent="0.25">
      <c r="A12" s="41" t="s">
        <v>34</v>
      </c>
      <c r="B12" s="60">
        <v>26481.049999999992</v>
      </c>
      <c r="C12" s="59">
        <v>0.42605106071770771</v>
      </c>
    </row>
    <row r="13" spans="1:3" x14ac:dyDescent="0.25">
      <c r="A13" s="41" t="s">
        <v>62</v>
      </c>
      <c r="B13" s="60">
        <v>17386.370000000003</v>
      </c>
      <c r="C13" s="59">
        <v>0.39354115769713971</v>
      </c>
    </row>
    <row r="14" spans="1:3" x14ac:dyDescent="0.25">
      <c r="A14" s="41" t="s">
        <v>71</v>
      </c>
      <c r="B14" s="60">
        <v>28688.86</v>
      </c>
      <c r="C14" s="59">
        <v>0.42981045343560981</v>
      </c>
    </row>
    <row r="15" spans="1:3" x14ac:dyDescent="0.25">
      <c r="A15" s="41" t="s">
        <v>30</v>
      </c>
      <c r="B15" s="60">
        <v>35307.230000000003</v>
      </c>
      <c r="C15" s="59">
        <v>0.41682825172594723</v>
      </c>
    </row>
    <row r="16" spans="1:3" x14ac:dyDescent="0.25">
      <c r="A16" s="41" t="s">
        <v>17</v>
      </c>
      <c r="B16" s="60">
        <v>12264.2</v>
      </c>
      <c r="C16" s="59">
        <v>0.4477146700440981</v>
      </c>
    </row>
    <row r="17" spans="1:3" x14ac:dyDescent="0.25">
      <c r="A17" s="41" t="s">
        <v>82</v>
      </c>
      <c r="B17" s="60">
        <v>39097.4</v>
      </c>
      <c r="C17" s="59">
        <v>0.39360396628754657</v>
      </c>
    </row>
    <row r="18" spans="1:3" x14ac:dyDescent="0.25">
      <c r="A18" s="41" t="s">
        <v>469</v>
      </c>
      <c r="B18" s="60">
        <v>332345.98000000004</v>
      </c>
      <c r="C18" s="59">
        <v>0.42630852955491827</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C9AA71"/>
  </sheetPr>
  <dimension ref="A1:E31"/>
  <sheetViews>
    <sheetView zoomScale="85" zoomScaleNormal="85" workbookViewId="0">
      <selection activeCell="B25" sqref="B25:E26"/>
    </sheetView>
  </sheetViews>
  <sheetFormatPr defaultColWidth="8.7109375" defaultRowHeight="15" x14ac:dyDescent="0.25"/>
  <cols>
    <col min="1" max="1" width="32.42578125" bestFit="1" customWidth="1"/>
    <col min="2" max="2" width="23.7109375" bestFit="1" customWidth="1"/>
    <col min="3" max="5" width="22" customWidth="1"/>
  </cols>
  <sheetData>
    <row r="1" spans="1:5" ht="36" customHeight="1" x14ac:dyDescent="0.25">
      <c r="A1" s="57" t="s">
        <v>431</v>
      </c>
      <c r="B1" s="57"/>
      <c r="C1" s="57"/>
      <c r="D1" s="57"/>
      <c r="E1" s="57"/>
    </row>
    <row r="3" spans="1:5" ht="25.5" customHeight="1" x14ac:dyDescent="0.25">
      <c r="A3" s="69" t="s">
        <v>475</v>
      </c>
      <c r="B3" s="56"/>
      <c r="C3" s="56"/>
      <c r="D3" s="56"/>
      <c r="E3" s="56"/>
    </row>
    <row r="4" spans="1:5" x14ac:dyDescent="0.25">
      <c r="A4" s="39" t="s">
        <v>482</v>
      </c>
      <c r="B4" s="38">
        <f>SUM(Revenue)</f>
        <v>332345.98000000033</v>
      </c>
      <c r="C4" s="55"/>
      <c r="D4" s="55"/>
      <c r="E4" s="55"/>
    </row>
    <row r="5" spans="1:5" x14ac:dyDescent="0.25">
      <c r="A5" s="39" t="s">
        <v>481</v>
      </c>
      <c r="B5" s="24">
        <f>ROUNDUP(AVERAGE('📦 Raw Data'!P:P)*100, 2)</f>
        <v>42.64</v>
      </c>
      <c r="C5" s="55"/>
      <c r="D5" s="55"/>
      <c r="E5" s="55"/>
    </row>
    <row r="6" spans="1:5" x14ac:dyDescent="0.25">
      <c r="A6" s="39" t="s">
        <v>480</v>
      </c>
      <c r="B6" s="24">
        <f>MAX(Revenue)</f>
        <v>7701.68</v>
      </c>
      <c r="C6" s="55"/>
      <c r="D6" s="55"/>
      <c r="E6" s="55"/>
    </row>
    <row r="7" spans="1:5" x14ac:dyDescent="0.25">
      <c r="A7" s="39" t="s">
        <v>479</v>
      </c>
      <c r="B7" s="24">
        <f>COUNTIF('📦 Raw Data'!L:L, "&gt;10%")</f>
        <v>80</v>
      </c>
      <c r="C7" s="55"/>
      <c r="D7" s="55"/>
      <c r="E7" s="55"/>
    </row>
    <row r="8" spans="1:5" x14ac:dyDescent="0.25">
      <c r="A8" s="39" t="s">
        <v>478</v>
      </c>
      <c r="B8" s="24">
        <f>SUMIF('📦 Raw Data'!F:F, "Electronics",Revenue)</f>
        <v>83660.23</v>
      </c>
      <c r="C8" s="55"/>
      <c r="D8" s="55"/>
      <c r="E8" s="55"/>
    </row>
    <row r="10" spans="1:5" ht="25.5" customHeight="1" x14ac:dyDescent="0.25">
      <c r="A10" s="69" t="s">
        <v>391</v>
      </c>
      <c r="B10" s="56"/>
      <c r="C10" s="56"/>
      <c r="D10" s="56"/>
      <c r="E10" s="56"/>
    </row>
    <row r="11" spans="1:5" x14ac:dyDescent="0.25">
      <c r="A11" s="70" t="s">
        <v>477</v>
      </c>
      <c r="B11" s="25" t="s">
        <v>109</v>
      </c>
      <c r="C11" s="55"/>
      <c r="D11" s="55"/>
      <c r="E11" s="55"/>
    </row>
    <row r="12" spans="1:5" x14ac:dyDescent="0.25">
      <c r="A12" s="22" t="s">
        <v>7</v>
      </c>
      <c r="B12" s="24" t="str">
        <f>VLOOKUP(B11,SalesData,8, FALSE)</f>
        <v>Grace Kim</v>
      </c>
      <c r="C12" s="55"/>
      <c r="D12" s="55"/>
      <c r="E12" s="55"/>
    </row>
    <row r="13" spans="1:5" x14ac:dyDescent="0.25">
      <c r="A13" s="22" t="s">
        <v>6</v>
      </c>
      <c r="B13" s="24" t="str">
        <f>VLOOKUP(B11, SalesData,7,FALSE)</f>
        <v>Folders</v>
      </c>
      <c r="C13" s="55"/>
      <c r="D13" s="55"/>
      <c r="E13" s="55"/>
    </row>
    <row r="14" spans="1:5" x14ac:dyDescent="0.25">
      <c r="A14" s="22" t="s">
        <v>12</v>
      </c>
      <c r="B14" s="24">
        <f>VLOOKUP(B11,SalesData,13,FALSE)</f>
        <v>200.67912000000001</v>
      </c>
      <c r="C14" s="55"/>
      <c r="D14" s="55"/>
      <c r="E14" s="55"/>
    </row>
    <row r="17" spans="1:5" ht="25.5" customHeight="1" x14ac:dyDescent="0.25">
      <c r="A17" s="69" t="s">
        <v>476</v>
      </c>
      <c r="B17" s="56"/>
      <c r="C17" s="56"/>
      <c r="D17" s="56"/>
      <c r="E17" s="56"/>
    </row>
    <row r="19" spans="1:5" ht="34.5" customHeight="1" x14ac:dyDescent="0.25">
      <c r="B19" s="71" t="str">
        <f>"Total Revenue:   " &amp; SUM(Revenue)</f>
        <v>Total Revenue:   332345.98</v>
      </c>
      <c r="C19" s="71"/>
      <c r="D19" s="71"/>
      <c r="E19" s="71"/>
    </row>
    <row r="20" spans="1:5" ht="34.5" customHeight="1" x14ac:dyDescent="0.25">
      <c r="B20" s="71"/>
      <c r="C20" s="71"/>
      <c r="D20" s="71"/>
      <c r="E20" s="71"/>
    </row>
    <row r="22" spans="1:5" ht="34.5" customHeight="1" x14ac:dyDescent="0.25">
      <c r="B22" s="68" t="str">
        <f>"Total Profit:   "&amp;ROUNDUP(SUM('📦 Raw Data'!O2:O301),2)</f>
        <v>Total Profit:   141821.49</v>
      </c>
      <c r="C22" s="68"/>
      <c r="D22" s="68"/>
      <c r="E22" s="68"/>
    </row>
    <row r="23" spans="1:5" ht="34.5" customHeight="1" x14ac:dyDescent="0.25">
      <c r="B23" s="68"/>
      <c r="C23" s="68"/>
      <c r="D23" s="68"/>
      <c r="E23" s="68"/>
    </row>
    <row r="25" spans="1:5" ht="34.5" customHeight="1" x14ac:dyDescent="0.25">
      <c r="B25" s="52" t="str">
        <f>"Average Profit Margin%:  "&amp;ROUNDUP(AVERAGE('📦 Raw Data'!P:P)*100, 2)</f>
        <v>Average Profit Margin%:  42.64</v>
      </c>
      <c r="C25" s="52"/>
      <c r="D25" s="52"/>
      <c r="E25" s="52"/>
    </row>
    <row r="26" spans="1:5" ht="34.5" customHeight="1" x14ac:dyDescent="0.25">
      <c r="B26" s="52"/>
      <c r="C26" s="52"/>
      <c r="D26" s="52"/>
      <c r="E26" s="52"/>
    </row>
    <row r="28" spans="1:5" ht="34.5" customHeight="1" x14ac:dyDescent="0.25">
      <c r="B28" s="53" t="str">
        <f>"Best Region base on total Net Revenue:  "&amp;INDEX('Pivot-Region'!$A$3:$A$6, MATCH(MAX('Pivot-Region'!$G$3:$G$6),'Pivot-Region'!$G$3:$G$6,0))</f>
        <v>Best Region base on total Net Revenue:  East</v>
      </c>
      <c r="C28" s="53"/>
      <c r="D28" s="53"/>
      <c r="E28" s="53"/>
    </row>
    <row r="29" spans="1:5" ht="34.5" customHeight="1" x14ac:dyDescent="0.25">
      <c r="B29" s="53"/>
      <c r="C29" s="53"/>
      <c r="D29" s="53"/>
      <c r="E29" s="53"/>
    </row>
    <row r="31" spans="1:5" ht="30" customHeight="1" x14ac:dyDescent="0.25">
      <c r="A31" s="54"/>
      <c r="B31" s="54"/>
      <c r="C31" s="54"/>
      <c r="D31" s="54"/>
      <c r="E31" s="54"/>
    </row>
  </sheetData>
  <mergeCells count="18">
    <mergeCell ref="A1:E1"/>
    <mergeCell ref="A3:E3"/>
    <mergeCell ref="C4:E4"/>
    <mergeCell ref="C5:E5"/>
    <mergeCell ref="C6:E6"/>
    <mergeCell ref="C7:E7"/>
    <mergeCell ref="C8:E8"/>
    <mergeCell ref="A10:E10"/>
    <mergeCell ref="C11:E11"/>
    <mergeCell ref="C12:E12"/>
    <mergeCell ref="B25:E26"/>
    <mergeCell ref="B28:E29"/>
    <mergeCell ref="A31:E31"/>
    <mergeCell ref="C13:E13"/>
    <mergeCell ref="C14:E14"/>
    <mergeCell ref="A17:E17"/>
    <mergeCell ref="B19:E20"/>
    <mergeCell ref="B22:E23"/>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375623"/>
  </sheetPr>
  <dimension ref="A1:D18"/>
  <sheetViews>
    <sheetView zoomScaleNormal="100" workbookViewId="0">
      <selection sqref="A1:D1"/>
    </sheetView>
  </sheetViews>
  <sheetFormatPr defaultColWidth="8.7109375" defaultRowHeight="15" x14ac:dyDescent="0.25"/>
  <cols>
    <col min="1" max="1" width="20" customWidth="1"/>
    <col min="2" max="2" width="14" customWidth="1"/>
    <col min="3" max="3" width="50" customWidth="1"/>
    <col min="4" max="4" width="20" customWidth="1"/>
  </cols>
  <sheetData>
    <row r="1" spans="1:4" ht="36" customHeight="1" x14ac:dyDescent="0.25">
      <c r="A1" s="57" t="s">
        <v>432</v>
      </c>
      <c r="B1" s="57"/>
      <c r="C1" s="57"/>
      <c r="D1" s="57"/>
    </row>
    <row r="2" spans="1:4" ht="27.75" customHeight="1" x14ac:dyDescent="0.25">
      <c r="A2" s="9" t="s">
        <v>433</v>
      </c>
      <c r="B2" s="9" t="s">
        <v>434</v>
      </c>
      <c r="C2" s="9" t="s">
        <v>435</v>
      </c>
      <c r="D2" s="9" t="s">
        <v>436</v>
      </c>
    </row>
    <row r="3" spans="1:4" ht="21.75" customHeight="1" x14ac:dyDescent="0.25">
      <c r="A3" s="26" t="s">
        <v>0</v>
      </c>
      <c r="B3" s="1" t="s">
        <v>437</v>
      </c>
      <c r="C3" s="27" t="s">
        <v>438</v>
      </c>
      <c r="D3" s="1" t="s">
        <v>16</v>
      </c>
    </row>
    <row r="4" spans="1:4" ht="21.75" customHeight="1" x14ac:dyDescent="0.25">
      <c r="A4" s="28" t="s">
        <v>1</v>
      </c>
      <c r="B4" s="5" t="s">
        <v>1</v>
      </c>
      <c r="C4" s="22" t="s">
        <v>439</v>
      </c>
      <c r="D4" s="5" t="s">
        <v>440</v>
      </c>
    </row>
    <row r="5" spans="1:4" ht="21.75" customHeight="1" x14ac:dyDescent="0.25">
      <c r="A5" s="26" t="s">
        <v>2</v>
      </c>
      <c r="B5" s="1" t="s">
        <v>437</v>
      </c>
      <c r="C5" s="27" t="s">
        <v>441</v>
      </c>
      <c r="D5" s="1" t="s">
        <v>58</v>
      </c>
    </row>
    <row r="6" spans="1:4" ht="21.75" customHeight="1" x14ac:dyDescent="0.25">
      <c r="A6" s="28" t="s">
        <v>3</v>
      </c>
      <c r="B6" s="5" t="s">
        <v>437</v>
      </c>
      <c r="C6" s="22" t="s">
        <v>442</v>
      </c>
      <c r="D6" s="5" t="s">
        <v>25</v>
      </c>
    </row>
    <row r="7" spans="1:4" ht="21.75" customHeight="1" x14ac:dyDescent="0.25">
      <c r="A7" s="26" t="s">
        <v>4</v>
      </c>
      <c r="B7" s="1" t="s">
        <v>437</v>
      </c>
      <c r="C7" s="27" t="s">
        <v>443</v>
      </c>
      <c r="D7" s="1" t="s">
        <v>19</v>
      </c>
    </row>
    <row r="8" spans="1:4" ht="21.75" customHeight="1" x14ac:dyDescent="0.25">
      <c r="A8" s="28" t="s">
        <v>5</v>
      </c>
      <c r="B8" s="5" t="s">
        <v>437</v>
      </c>
      <c r="C8" s="22" t="s">
        <v>444</v>
      </c>
      <c r="D8" s="5" t="s">
        <v>45</v>
      </c>
    </row>
    <row r="9" spans="1:4" ht="21.75" customHeight="1" x14ac:dyDescent="0.25">
      <c r="A9" s="26" t="s">
        <v>6</v>
      </c>
      <c r="B9" s="1" t="s">
        <v>437</v>
      </c>
      <c r="C9" s="27" t="s">
        <v>445</v>
      </c>
      <c r="D9" s="1" t="s">
        <v>85</v>
      </c>
    </row>
    <row r="10" spans="1:4" ht="21.75" customHeight="1" x14ac:dyDescent="0.25">
      <c r="A10" s="28" t="s">
        <v>7</v>
      </c>
      <c r="B10" s="5" t="s">
        <v>437</v>
      </c>
      <c r="C10" s="22" t="s">
        <v>446</v>
      </c>
      <c r="D10" s="5" t="s">
        <v>28</v>
      </c>
    </row>
    <row r="11" spans="1:4" ht="21.75" customHeight="1" x14ac:dyDescent="0.25">
      <c r="A11" s="26" t="s">
        <v>8</v>
      </c>
      <c r="B11" s="1" t="s">
        <v>447</v>
      </c>
      <c r="C11" s="27" t="s">
        <v>448</v>
      </c>
      <c r="D11" s="1" t="s">
        <v>449</v>
      </c>
    </row>
    <row r="12" spans="1:4" ht="21.75" customHeight="1" x14ac:dyDescent="0.25">
      <c r="A12" s="28" t="s">
        <v>9</v>
      </c>
      <c r="B12" s="5" t="s">
        <v>450</v>
      </c>
      <c r="C12" s="22" t="s">
        <v>451</v>
      </c>
      <c r="D12" s="5" t="s">
        <v>452</v>
      </c>
    </row>
    <row r="13" spans="1:4" ht="21.75" customHeight="1" x14ac:dyDescent="0.25">
      <c r="A13" s="26" t="s">
        <v>10</v>
      </c>
      <c r="B13" s="1" t="s">
        <v>447</v>
      </c>
      <c r="C13" s="27" t="s">
        <v>453</v>
      </c>
      <c r="D13" s="1" t="s">
        <v>454</v>
      </c>
    </row>
    <row r="14" spans="1:4" ht="21.75" customHeight="1" x14ac:dyDescent="0.25">
      <c r="A14" s="28" t="s">
        <v>11</v>
      </c>
      <c r="B14" s="5" t="s">
        <v>455</v>
      </c>
      <c r="C14" s="22" t="s">
        <v>456</v>
      </c>
      <c r="D14" s="5" t="s">
        <v>457</v>
      </c>
    </row>
    <row r="15" spans="1:4" ht="21.75" customHeight="1" x14ac:dyDescent="0.25">
      <c r="A15" s="26" t="s">
        <v>12</v>
      </c>
      <c r="B15" s="1" t="s">
        <v>447</v>
      </c>
      <c r="C15" s="27" t="s">
        <v>458</v>
      </c>
      <c r="D15" s="1" t="s">
        <v>459</v>
      </c>
    </row>
    <row r="16" spans="1:4" ht="21.75" customHeight="1" x14ac:dyDescent="0.25">
      <c r="A16" s="28" t="s">
        <v>13</v>
      </c>
      <c r="B16" s="5" t="s">
        <v>447</v>
      </c>
      <c r="C16" s="22" t="s">
        <v>460</v>
      </c>
      <c r="D16" s="5" t="s">
        <v>461</v>
      </c>
    </row>
    <row r="17" spans="1:4" ht="21.75" customHeight="1" x14ac:dyDescent="0.25">
      <c r="A17" s="26" t="s">
        <v>14</v>
      </c>
      <c r="B17" s="1" t="s">
        <v>447</v>
      </c>
      <c r="C17" s="27" t="s">
        <v>462</v>
      </c>
      <c r="D17" s="1" t="s">
        <v>463</v>
      </c>
    </row>
    <row r="18" spans="1:4" ht="21.75" customHeight="1" x14ac:dyDescent="0.25">
      <c r="A18" s="28" t="s">
        <v>15</v>
      </c>
      <c r="B18" s="5" t="s">
        <v>455</v>
      </c>
      <c r="C18" s="22" t="s">
        <v>464</v>
      </c>
      <c r="D18" s="5" t="s">
        <v>465</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 Raw Data</vt:lpstr>
      <vt:lpstr>📋 Tasks &amp; Guide</vt:lpstr>
      <vt:lpstr>DASHBOARD</vt:lpstr>
      <vt:lpstr>Pivot-Region</vt:lpstr>
      <vt:lpstr>Pivot-Monthly</vt:lpstr>
      <vt:lpstr>Work</vt:lpstr>
      <vt:lpstr>📖 Data Dictionary</vt:lpstr>
      <vt:lpstr>Region</vt:lpstr>
      <vt:lpstr>Revenue</vt:lpstr>
      <vt:lpstr>SalesData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Rui Manalo</cp:lastModifiedBy>
  <cp:revision>0</cp:revision>
  <dcterms:created xsi:type="dcterms:W3CDTF">2026-03-12T22:29:56Z</dcterms:created>
  <dcterms:modified xsi:type="dcterms:W3CDTF">2026-03-14T01:00:33Z</dcterms:modified>
  <dc:language>en-US</dc:language>
</cp:coreProperties>
</file>